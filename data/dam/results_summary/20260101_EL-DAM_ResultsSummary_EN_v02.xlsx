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DaM\TmpFiles\"/>
    </mc:Choice>
  </mc:AlternateContent>
  <bookViews>
    <workbookView xWindow="0" yWindow="0" windowWidth="28800" windowHeight="12915"/>
  </bookViews>
  <sheets>
    <sheet name="SPOT_Summary (SELL)" sheetId="4" r:id="rId1"/>
    <sheet name="SPOT_Summary (BUY)" sheetId="5" r:id="rId2"/>
    <sheet name="MKT_Coupling" sheetId="6" r:id="rId3"/>
    <sheet name="Summary_Chart (SELL)" sheetId="7" r:id="rId4"/>
    <sheet name="Summary_Chart (BUY)" sheetId="8" r:id="rId5"/>
  </sheets>
  <definedNames>
    <definedName name="BRD_EXP_NAMES_DAM_CPL">MKT_Coupling!$A$20:$A$24</definedName>
    <definedName name="BRD_EXP_NAMES_SUM_BUY">'SPOT_Summary (BUY)'!$A$36:$A$40</definedName>
    <definedName name="BRD_EXP_NAMES_SUM_BUY_CPL">'SPOT_Summary (BUY)'!$A$44:$A$49</definedName>
    <definedName name="BRD_EXP_VALUES_DAM_CPL">MKT_Coupling!$B$20:$CW$24</definedName>
    <definedName name="BRD_EXP_VALUES_SUM_BUY">'SPOT_Summary (BUY)'!$B$36:$CW$40</definedName>
    <definedName name="BRD_EXP_VALUES_SUM_BUY_CPL">'SPOT_Summary (BUY)'!$B$44:$CW$49</definedName>
    <definedName name="BRD_IMP_NAMES_DAM_CPL">MKT_Coupling!$A$12:$A$16</definedName>
    <definedName name="BRD_IMP_NAMES_SUM_SELL">'SPOT_Summary (SELL)'!$A$36:$A$40</definedName>
    <definedName name="BRD_IMP_NAMES_SUM_SELL_CPL">'SPOT_Summary (SELL)'!$A$44:$A$49</definedName>
    <definedName name="BRD_IMP_VALUES_DAM_CPL">MKT_Coupling!$B$12:$CW$16</definedName>
    <definedName name="BRD_IMP_VALUES_SUM_SELL">'SPOT_Summary (SELL)'!$B$36:$CW$40</definedName>
    <definedName name="BRD_IMP_VALUES_SUM_SELL_CPL">'SPOT_Summary (SELL)'!$B$44:$CW$49</definedName>
    <definedName name="BUY_ORDERS_NAMES_SUM_BUY">'SPOT_Summary (BUY)'!$A$30:$A$32</definedName>
    <definedName name="BUY_ORDERS_VALUES_SUM_BUY">'SPOT_Summary (BUY)'!$B$30:$CW$32</definedName>
    <definedName name="DAM_CPL_PUB_TIME">MKT_Coupling!$D$1</definedName>
    <definedName name="DEM_UNITS_CRT_VALUES_SUM_BUY">'SPOT_Summary (BUY)'!$B$25:$CW$25</definedName>
    <definedName name="DEM_UNITS_CRT_VALUES_SUM_SELL">'SPOT_Summary (SELL)'!$B$25:$CW$25</definedName>
    <definedName name="DEM_UNITS_DRS_VALUES_SUM_BUY">'SPOT_Summary (BUY)'!$B$26:$CW$26</definedName>
    <definedName name="DEM_UNITS_DRS_VALUES_SUM_SELL">'SPOT_Summary (SELL)'!$B$26:$CW$26</definedName>
    <definedName name="DEM_UNITS_HVL_VALUES_SUM_BUY">'SPOT_Summary (BUY)'!$B$20:$CW$20</definedName>
    <definedName name="DEM_UNITS_HVL_VALUES_SUM_SELL">'SPOT_Summary (SELL)'!$B$20:$CW$20</definedName>
    <definedName name="DEM_UNITS_LVL_VALUES_SUM_BUY">'SPOT_Summary (BUY)'!$B$22:$CW$22</definedName>
    <definedName name="DEM_UNITS_LVL_VALUES_SUM_SELL">'SPOT_Summary (SELL)'!$B$22:$CW$22</definedName>
    <definedName name="DEM_UNITS_MVL_VALUES_SUM_BUY">'SPOT_Summary (BUY)'!$B$21:$CW$21</definedName>
    <definedName name="DEM_UNITS_MVL_VALUES_SUM_SELL">'SPOT_Summary (SELL)'!$B$21:$CW$21</definedName>
    <definedName name="DEM_UNITS_PMP_VALUES_SUM_BUY">'SPOT_Summary (BUY)'!$B$23:$CW$23</definedName>
    <definedName name="DEM_UNITS_PMP_VALUES_SUM_SELL">'SPOT_Summary (SELL)'!$B$23:$CW$23</definedName>
    <definedName name="DEM_UNITS_SLL_VALUES_SUM_BUY">'SPOT_Summary (BUY)'!$B$24:$CW$24</definedName>
    <definedName name="DEM_UNITS_SLL_VALUES_SUM_SELL">'SPOT_Summary (SELL)'!$B$24:$CW$24</definedName>
    <definedName name="DEMAND_NAMES_SUM_BUY">'SPOT_Summary (BUY)'!$A$20:$A$26</definedName>
    <definedName name="DEMAND_NAMES_SUM_SELL">'SPOT_Summary (SELL)'!$A$20:$A$26</definedName>
    <definedName name="DEMAND_VALUES_SUM_BUY">'SPOT_Summary (BUY)'!$B$20:$CW$26</definedName>
    <definedName name="DEMAND_VALUES_SUM_SELL">'SPOT_Summary (SELL)'!$B$20:$CW$26</definedName>
    <definedName name="GR_MAINLAND_MCP_DAM_CPL">MKT_Coupling!$B$8:$CW$8</definedName>
    <definedName name="GR_MAINLAND_MCP_DAM_CPL_60MIN">MKT_Coupling!$B$9:$CW$9</definedName>
    <definedName name="GR_MAINLAND_MCP_SUM_BUY">'SPOT_Summary (BUY)'!$B$8:$CW$8</definedName>
    <definedName name="GR_MAINLAND_MCP_SUM_BUY_60MIN">'SPOT_Summary (BUY)'!$B$9:$CW$9</definedName>
    <definedName name="GR_MAINLAND_MCP_SUM_SELL">'SPOT_Summary (SELL)'!$B$8:$CW$8</definedName>
    <definedName name="GR_MAINLAND_MCP_SUM_SELL_60MIN">'SPOT_Summary (SELL)'!$B$9:$CW$9</definedName>
    <definedName name="HRs_MKT_DAM_COUPLING">MKT_Coupling!$B$2:$CW$2</definedName>
    <definedName name="HRs_MKT_SUM_BUY">'SPOT_Summary (BUY)'!$B$2:$CW$2</definedName>
    <definedName name="HRs_MKT_SUM_SELL">'SPOT_Summary (SELL)'!$B$2:$CW$2</definedName>
    <definedName name="MKT_DAM_COUPLING_DELIVERY_DAY">MKT_Coupling!$A$3</definedName>
    <definedName name="MKT_DAM_COUPLING_TITLE">MKT_Coupling!$A$1</definedName>
    <definedName name="MKT_SUM_BUY_DELIVERY_DAY">'SPOT_Summary (BUY)'!$A$3</definedName>
    <definedName name="MKT_SUM_BUY_TITLE">'SPOT_Summary (BUY)'!$A$1</definedName>
    <definedName name="MKT_SUM_SELL_DELIVERY_DAY">'SPOT_Summary (SELL)'!$A$3</definedName>
    <definedName name="MKT_SUM_SELL_TITLE">'SPOT_Summary (SELL)'!$A$1</definedName>
    <definedName name="MTUs_MKT_DAM_COUPLING">MKT_Coupling!$B$3:$CW$3</definedName>
    <definedName name="MTUs_MKT_SUM_BUY">'SPOT_Summary (BUY)'!$B$3:$CW$3</definedName>
    <definedName name="MTUs_MKT_SUM_SELL">'SPOT_Summary (SELL)'!$B$3:$CW$3</definedName>
    <definedName name="NET_POSITION_GR_MAINLAND_DAM_CPL">MKT_Coupling!$B$5:$CW$5</definedName>
    <definedName name="_xlnm.Print_Area" localSheetId="2">MKT_Coupling!$A$1:$CX$25</definedName>
    <definedName name="_xlnm.Print_Area" localSheetId="1">'SPOT_Summary (BUY)'!$A$1:$CX$53</definedName>
    <definedName name="_xlnm.Print_Area" localSheetId="0">'SPOT_Summary (SELL)'!$A$1:$CX$53</definedName>
    <definedName name="_xlnm.Print_Titles" localSheetId="2">MKT_Coupling!$A:$A,MKT_Coupling!$1:$3</definedName>
    <definedName name="_xlnm.Print_Titles" localSheetId="1">'SPOT_Summary (BUY)'!$A:$A,'SPOT_Summary (BUY)'!$1:$3</definedName>
    <definedName name="_xlnm.Print_Titles" localSheetId="0">'SPOT_Summary (SELL)'!$A:$A,'SPOT_Summary (SELL)'!$1:$3</definedName>
    <definedName name="SELL_ORDERS_NAMES_SUM_SELL">'SPOT_Summary (SELL)'!$A$30:$A$32</definedName>
    <definedName name="SELL_ORDERS_VALUES_SUM_SELL">'SPOT_Summary (SELL)'!$B$30:$CW$32</definedName>
    <definedName name="TOT_DEMAND_GR_MAINLAND_SUM_BUY">'SPOT_Summary (BUY)'!$B$5:$CW$5</definedName>
    <definedName name="TOT_SUM_BUY_PUB_TIME">'SPOT_Summary (BUY)'!$C$1</definedName>
    <definedName name="TOT_SUM_SELL_PUB_TIME">'SPOT_Summary (SELL)'!$C$1</definedName>
    <definedName name="TOT_SUPPLY_GR_MAINLAND_SUM_SELL">'SPOT_Summary (SELL)'!$B$5:$CW$5</definedName>
    <definedName name="UNITS_CRT_VALUES_SUM_BUY">'SPOT_Summary (BUY)'!$B$12:$CW$12</definedName>
    <definedName name="UNITS_CRT_VALUES_SUM_SELL">'SPOT_Summary (SELL)'!$B$12:$CW$12</definedName>
    <definedName name="UNITS_CRTRES_VALUES_SUM_BUY">'SPOT_Summary (BUY)'!$B$16:$CW$16</definedName>
    <definedName name="UNITS_CRTRES_VALUES_SUM_SELL">'SPOT_Summary (SELL)'!$B$16:$CW$16</definedName>
    <definedName name="UNITS_GAS_VALUES_SUM_BUY">'SPOT_Summary (BUY)'!$B$13:$CW$13</definedName>
    <definedName name="UNITS_GAS_VALUES_SUM_SELL">'SPOT_Summary (SELL)'!$B$13:$CW$13</definedName>
    <definedName name="UNITS_HDR_VALUES_SUM_BUY">'SPOT_Summary (BUY)'!$B$14:$CW$14</definedName>
    <definedName name="UNITS_HDR_VALUES_SUM_SELL">'SPOT_Summary (SELL)'!$B$14:$CW$14</definedName>
    <definedName name="UNITS_IMP_VALUES_SUM_SELL">'SPOT_Summary (SELL)'!$B$41:$CW$41</definedName>
    <definedName name="UNITS_LIG_VALUES_SUM_BUY">'SPOT_Summary (BUY)'!$B$11:$CW$11</definedName>
    <definedName name="UNITS_LIG_VALUES_SUM_SELL">'SPOT_Summary (SELL)'!$B$11:$CW$11</definedName>
    <definedName name="UNITS_NAMES_SUM_BUY">'SPOT_Summary (BUY)'!$A$11:$A$16</definedName>
    <definedName name="UNITS_NAMES_SUM_SELL">'SPOT_Summary (SELL)'!$A$11:$A$16</definedName>
    <definedName name="UNITS_RES_VALUES_SUM_BUY">'SPOT_Summary (BUY)'!$B$15:$CW$15</definedName>
    <definedName name="UNITS_RES_VALUES_SUM_SELL">'SPOT_Summary (SELL)'!$B$15:$CW$15</definedName>
    <definedName name="UNITS_VALUES_SUM_BUY">'SPOT_Summary (BUY)'!$B$11:$CW$16</definedName>
    <definedName name="UNITS_VALUES_SUM_SELL">'SPOT_Summary (SELL)'!$B$11:$CW$16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X20" i="6" l="1" a="1"/>
  <c r="CX20" i="6"/>
  <c r="CX21" i="6" a="1"/>
  <c r="CX21" i="6"/>
  <c r="CX22" i="6" a="1"/>
  <c r="CX23" i="6" a="1"/>
  <c r="CX24" i="6" a="1"/>
  <c r="CX22" i="6"/>
  <c r="CX23" i="6"/>
  <c r="CX24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CF25" i="6"/>
  <c r="CE25" i="6"/>
  <c r="CD25" i="6"/>
  <c r="CC25" i="6"/>
  <c r="CB25" i="6"/>
  <c r="CA25" i="6"/>
  <c r="BZ25" i="6"/>
  <c r="BY25" i="6"/>
  <c r="BX25" i="6"/>
  <c r="BW25" i="6"/>
  <c r="BV25" i="6"/>
  <c r="BU25" i="6"/>
  <c r="BT25" i="6"/>
  <c r="BS25" i="6"/>
  <c r="BR25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CX12" i="6" a="1"/>
  <c r="CX12" i="6"/>
  <c r="CX13" i="6" a="1"/>
  <c r="CX13" i="6"/>
  <c r="CX14" i="6" a="1"/>
  <c r="CX15" i="6" a="1"/>
  <c r="CX16" i="6" a="1"/>
  <c r="CX14" i="6"/>
  <c r="CX15" i="6"/>
  <c r="CX16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CX9" i="6"/>
  <c r="CX8" i="6"/>
  <c r="CX5" i="6" a="1"/>
  <c r="CX5" i="6"/>
  <c r="CX11" i="5" a="1"/>
  <c r="CX11" i="5"/>
  <c r="CX12" i="5" a="1"/>
  <c r="CX12" i="5"/>
  <c r="CX13" i="5" a="1"/>
  <c r="CX14" i="5" a="1"/>
  <c r="CX15" i="5" a="1"/>
  <c r="CX16" i="5" a="1"/>
  <c r="CX13" i="5"/>
  <c r="CX14" i="5"/>
  <c r="CX15" i="5"/>
  <c r="CX16" i="5"/>
  <c r="CX17" i="5"/>
  <c r="CX20" i="5" a="1"/>
  <c r="CX20" i="5"/>
  <c r="CX21" i="5" a="1"/>
  <c r="CX21" i="5"/>
  <c r="CX22" i="5" a="1"/>
  <c r="CX23" i="5" a="1"/>
  <c r="CX24" i="5" a="1"/>
  <c r="CX25" i="5" a="1"/>
  <c r="CX26" i="5" a="1"/>
  <c r="CX22" i="5"/>
  <c r="CX23" i="5"/>
  <c r="CX24" i="5"/>
  <c r="CX25" i="5"/>
  <c r="CX26" i="5"/>
  <c r="CX27" i="5"/>
  <c r="CX36" i="5" a="1"/>
  <c r="CX36" i="5"/>
  <c r="CX37" i="5" a="1"/>
  <c r="CX37" i="5"/>
  <c r="CX38" i="5" a="1"/>
  <c r="CX39" i="5" a="1"/>
  <c r="CX40" i="5" a="1"/>
  <c r="CX38" i="5"/>
  <c r="CX39" i="5"/>
  <c r="CX40" i="5"/>
  <c r="CX41" i="5"/>
  <c r="CX53" i="5"/>
  <c r="CW17" i="5"/>
  <c r="CW27" i="5"/>
  <c r="CW41" i="5"/>
  <c r="CW53" i="5"/>
  <c r="CV17" i="5"/>
  <c r="CV27" i="5"/>
  <c r="CV41" i="5"/>
  <c r="CV53" i="5"/>
  <c r="CU17" i="5"/>
  <c r="CU27" i="5"/>
  <c r="CU41" i="5"/>
  <c r="CU53" i="5"/>
  <c r="CT17" i="5"/>
  <c r="CT27" i="5"/>
  <c r="CT41" i="5"/>
  <c r="CT53" i="5"/>
  <c r="CS17" i="5"/>
  <c r="CS27" i="5"/>
  <c r="CS41" i="5"/>
  <c r="CS53" i="5"/>
  <c r="CR17" i="5"/>
  <c r="CR27" i="5"/>
  <c r="CR41" i="5"/>
  <c r="CR53" i="5"/>
  <c r="CQ17" i="5"/>
  <c r="CQ27" i="5"/>
  <c r="CQ41" i="5"/>
  <c r="CQ53" i="5"/>
  <c r="CP17" i="5"/>
  <c r="CP27" i="5"/>
  <c r="CP41" i="5"/>
  <c r="CP53" i="5"/>
  <c r="CO17" i="5"/>
  <c r="CO27" i="5"/>
  <c r="CO41" i="5"/>
  <c r="CO53" i="5"/>
  <c r="CN17" i="5"/>
  <c r="CN27" i="5"/>
  <c r="CN41" i="5"/>
  <c r="CN53" i="5"/>
  <c r="CM17" i="5"/>
  <c r="CM27" i="5"/>
  <c r="CM41" i="5"/>
  <c r="CM53" i="5"/>
  <c r="CL17" i="5"/>
  <c r="CL27" i="5"/>
  <c r="CL41" i="5"/>
  <c r="CL53" i="5"/>
  <c r="CK17" i="5"/>
  <c r="CK27" i="5"/>
  <c r="CK41" i="5"/>
  <c r="CK53" i="5"/>
  <c r="CJ17" i="5"/>
  <c r="CJ27" i="5"/>
  <c r="CJ41" i="5"/>
  <c r="CJ53" i="5"/>
  <c r="CI17" i="5"/>
  <c r="CI27" i="5"/>
  <c r="CI41" i="5"/>
  <c r="CI53" i="5"/>
  <c r="CH17" i="5"/>
  <c r="CH27" i="5"/>
  <c r="CH41" i="5"/>
  <c r="CH53" i="5"/>
  <c r="CG17" i="5"/>
  <c r="CG27" i="5"/>
  <c r="CG41" i="5"/>
  <c r="CG53" i="5"/>
  <c r="CF17" i="5"/>
  <c r="CF27" i="5"/>
  <c r="CF41" i="5"/>
  <c r="CF53" i="5"/>
  <c r="CE17" i="5"/>
  <c r="CE27" i="5"/>
  <c r="CE41" i="5"/>
  <c r="CE53" i="5"/>
  <c r="CD17" i="5"/>
  <c r="CD27" i="5"/>
  <c r="CD41" i="5"/>
  <c r="CD53" i="5"/>
  <c r="CC17" i="5"/>
  <c r="CC27" i="5"/>
  <c r="CC41" i="5"/>
  <c r="CC53" i="5"/>
  <c r="CB17" i="5"/>
  <c r="CB27" i="5"/>
  <c r="CB41" i="5"/>
  <c r="CB53" i="5"/>
  <c r="CA17" i="5"/>
  <c r="CA27" i="5"/>
  <c r="CA41" i="5"/>
  <c r="CA53" i="5"/>
  <c r="BZ17" i="5"/>
  <c r="BZ27" i="5"/>
  <c r="BZ41" i="5"/>
  <c r="BZ53" i="5"/>
  <c r="BY17" i="5"/>
  <c r="BY27" i="5"/>
  <c r="BY41" i="5"/>
  <c r="BY53" i="5"/>
  <c r="BX17" i="5"/>
  <c r="BX27" i="5"/>
  <c r="BX41" i="5"/>
  <c r="BX53" i="5"/>
  <c r="BW17" i="5"/>
  <c r="BW27" i="5"/>
  <c r="BW41" i="5"/>
  <c r="BW53" i="5"/>
  <c r="BV17" i="5"/>
  <c r="BV27" i="5"/>
  <c r="BV41" i="5"/>
  <c r="BV53" i="5"/>
  <c r="BU17" i="5"/>
  <c r="BU27" i="5"/>
  <c r="BU41" i="5"/>
  <c r="BU53" i="5"/>
  <c r="BT17" i="5"/>
  <c r="BT27" i="5"/>
  <c r="BT41" i="5"/>
  <c r="BT53" i="5"/>
  <c r="BS17" i="5"/>
  <c r="BS27" i="5"/>
  <c r="BS41" i="5"/>
  <c r="BS53" i="5"/>
  <c r="BR17" i="5"/>
  <c r="BR27" i="5"/>
  <c r="BR41" i="5"/>
  <c r="BR53" i="5"/>
  <c r="BQ17" i="5"/>
  <c r="BQ27" i="5"/>
  <c r="BQ41" i="5"/>
  <c r="BQ53" i="5"/>
  <c r="BP17" i="5"/>
  <c r="BP27" i="5"/>
  <c r="BP41" i="5"/>
  <c r="BP53" i="5"/>
  <c r="BO17" i="5"/>
  <c r="BO27" i="5"/>
  <c r="BO41" i="5"/>
  <c r="BO53" i="5"/>
  <c r="BN17" i="5"/>
  <c r="BN27" i="5"/>
  <c r="BN41" i="5"/>
  <c r="BN53" i="5"/>
  <c r="BM17" i="5"/>
  <c r="BM27" i="5"/>
  <c r="BM41" i="5"/>
  <c r="BM53" i="5"/>
  <c r="BL17" i="5"/>
  <c r="BL27" i="5"/>
  <c r="BL41" i="5"/>
  <c r="BL53" i="5"/>
  <c r="BK17" i="5"/>
  <c r="BK27" i="5"/>
  <c r="BK41" i="5"/>
  <c r="BK53" i="5"/>
  <c r="BJ17" i="5"/>
  <c r="BJ27" i="5"/>
  <c r="BJ41" i="5"/>
  <c r="BJ53" i="5"/>
  <c r="BI17" i="5"/>
  <c r="BI27" i="5"/>
  <c r="BI41" i="5"/>
  <c r="BI53" i="5"/>
  <c r="BH17" i="5"/>
  <c r="BH27" i="5"/>
  <c r="BH41" i="5"/>
  <c r="BH53" i="5"/>
  <c r="BG17" i="5"/>
  <c r="BG27" i="5"/>
  <c r="BG41" i="5"/>
  <c r="BG53" i="5"/>
  <c r="BF17" i="5"/>
  <c r="BF27" i="5"/>
  <c r="BF41" i="5"/>
  <c r="BF53" i="5"/>
  <c r="BE17" i="5"/>
  <c r="BE27" i="5"/>
  <c r="BE41" i="5"/>
  <c r="BE53" i="5"/>
  <c r="BD17" i="5"/>
  <c r="BD27" i="5"/>
  <c r="BD41" i="5"/>
  <c r="BD53" i="5"/>
  <c r="BC17" i="5"/>
  <c r="BC27" i="5"/>
  <c r="BC41" i="5"/>
  <c r="BC53" i="5"/>
  <c r="BB17" i="5"/>
  <c r="BB27" i="5"/>
  <c r="BB41" i="5"/>
  <c r="BB53" i="5"/>
  <c r="BA17" i="5"/>
  <c r="BA27" i="5"/>
  <c r="BA41" i="5"/>
  <c r="BA53" i="5"/>
  <c r="AZ17" i="5"/>
  <c r="AZ27" i="5"/>
  <c r="AZ41" i="5"/>
  <c r="AZ53" i="5"/>
  <c r="AY17" i="5"/>
  <c r="AY27" i="5"/>
  <c r="AY41" i="5"/>
  <c r="AY53" i="5"/>
  <c r="AX17" i="5"/>
  <c r="AX27" i="5"/>
  <c r="AX41" i="5"/>
  <c r="AX53" i="5"/>
  <c r="AW17" i="5"/>
  <c r="AW27" i="5"/>
  <c r="AW41" i="5"/>
  <c r="AW53" i="5"/>
  <c r="AV17" i="5"/>
  <c r="AV27" i="5"/>
  <c r="AV41" i="5"/>
  <c r="AV53" i="5"/>
  <c r="AU17" i="5"/>
  <c r="AU27" i="5"/>
  <c r="AU41" i="5"/>
  <c r="AU53" i="5"/>
  <c r="AT17" i="5"/>
  <c r="AT27" i="5"/>
  <c r="AT41" i="5"/>
  <c r="AT53" i="5"/>
  <c r="AS17" i="5"/>
  <c r="AS27" i="5"/>
  <c r="AS41" i="5"/>
  <c r="AS53" i="5"/>
  <c r="AR17" i="5"/>
  <c r="AR27" i="5"/>
  <c r="AR41" i="5"/>
  <c r="AR53" i="5"/>
  <c r="AQ17" i="5"/>
  <c r="AQ27" i="5"/>
  <c r="AQ41" i="5"/>
  <c r="AQ53" i="5"/>
  <c r="AP17" i="5"/>
  <c r="AP27" i="5"/>
  <c r="AP41" i="5"/>
  <c r="AP53" i="5"/>
  <c r="AO17" i="5"/>
  <c r="AO27" i="5"/>
  <c r="AO41" i="5"/>
  <c r="AO53" i="5"/>
  <c r="AN17" i="5"/>
  <c r="AN27" i="5"/>
  <c r="AN41" i="5"/>
  <c r="AN53" i="5"/>
  <c r="AM17" i="5"/>
  <c r="AM27" i="5"/>
  <c r="AM41" i="5"/>
  <c r="AM53" i="5"/>
  <c r="AL17" i="5"/>
  <c r="AL27" i="5"/>
  <c r="AL41" i="5"/>
  <c r="AL53" i="5"/>
  <c r="AK17" i="5"/>
  <c r="AK27" i="5"/>
  <c r="AK41" i="5"/>
  <c r="AK53" i="5"/>
  <c r="AJ17" i="5"/>
  <c r="AJ27" i="5"/>
  <c r="AJ41" i="5"/>
  <c r="AJ53" i="5"/>
  <c r="AI17" i="5"/>
  <c r="AI27" i="5"/>
  <c r="AI41" i="5"/>
  <c r="AI53" i="5"/>
  <c r="AH17" i="5"/>
  <c r="AH27" i="5"/>
  <c r="AH41" i="5"/>
  <c r="AH53" i="5"/>
  <c r="AG17" i="5"/>
  <c r="AG27" i="5"/>
  <c r="AG41" i="5"/>
  <c r="AG53" i="5"/>
  <c r="AF17" i="5"/>
  <c r="AF27" i="5"/>
  <c r="AF41" i="5"/>
  <c r="AF53" i="5"/>
  <c r="AE17" i="5"/>
  <c r="AE27" i="5"/>
  <c r="AE41" i="5"/>
  <c r="AE53" i="5"/>
  <c r="AD17" i="5"/>
  <c r="AD27" i="5"/>
  <c r="AD41" i="5"/>
  <c r="AD53" i="5"/>
  <c r="AC17" i="5"/>
  <c r="AC27" i="5"/>
  <c r="AC41" i="5"/>
  <c r="AC53" i="5"/>
  <c r="AB17" i="5"/>
  <c r="AB27" i="5"/>
  <c r="AB41" i="5"/>
  <c r="AB53" i="5"/>
  <c r="AA17" i="5"/>
  <c r="AA27" i="5"/>
  <c r="AA41" i="5"/>
  <c r="AA53" i="5"/>
  <c r="Z17" i="5"/>
  <c r="Z27" i="5"/>
  <c r="Z41" i="5"/>
  <c r="Z53" i="5"/>
  <c r="Y17" i="5"/>
  <c r="Y27" i="5"/>
  <c r="Y41" i="5"/>
  <c r="Y53" i="5"/>
  <c r="X17" i="5"/>
  <c r="X27" i="5"/>
  <c r="X41" i="5"/>
  <c r="X53" i="5"/>
  <c r="W17" i="5"/>
  <c r="W27" i="5"/>
  <c r="W41" i="5"/>
  <c r="W53" i="5"/>
  <c r="V17" i="5"/>
  <c r="V27" i="5"/>
  <c r="V41" i="5"/>
  <c r="V53" i="5"/>
  <c r="U17" i="5"/>
  <c r="U27" i="5"/>
  <c r="U41" i="5"/>
  <c r="U53" i="5"/>
  <c r="T17" i="5"/>
  <c r="T27" i="5"/>
  <c r="T41" i="5"/>
  <c r="T53" i="5"/>
  <c r="S17" i="5"/>
  <c r="S27" i="5"/>
  <c r="S41" i="5"/>
  <c r="S53" i="5"/>
  <c r="R17" i="5"/>
  <c r="R27" i="5"/>
  <c r="R41" i="5"/>
  <c r="R53" i="5"/>
  <c r="Q17" i="5"/>
  <c r="Q27" i="5"/>
  <c r="Q41" i="5"/>
  <c r="Q53" i="5"/>
  <c r="P17" i="5"/>
  <c r="P27" i="5"/>
  <c r="P41" i="5"/>
  <c r="P53" i="5"/>
  <c r="O17" i="5"/>
  <c r="O27" i="5"/>
  <c r="O41" i="5"/>
  <c r="O53" i="5"/>
  <c r="N17" i="5"/>
  <c r="N27" i="5"/>
  <c r="N41" i="5"/>
  <c r="N53" i="5"/>
  <c r="M17" i="5"/>
  <c r="M27" i="5"/>
  <c r="M41" i="5"/>
  <c r="M53" i="5"/>
  <c r="L17" i="5"/>
  <c r="L27" i="5"/>
  <c r="L41" i="5"/>
  <c r="L53" i="5"/>
  <c r="K17" i="5"/>
  <c r="K27" i="5"/>
  <c r="K41" i="5"/>
  <c r="K53" i="5"/>
  <c r="J17" i="5"/>
  <c r="J27" i="5"/>
  <c r="J41" i="5"/>
  <c r="J53" i="5"/>
  <c r="I17" i="5"/>
  <c r="I27" i="5"/>
  <c r="I41" i="5"/>
  <c r="I53" i="5"/>
  <c r="H17" i="5"/>
  <c r="H27" i="5"/>
  <c r="H41" i="5"/>
  <c r="H53" i="5"/>
  <c r="G17" i="5"/>
  <c r="G27" i="5"/>
  <c r="G41" i="5"/>
  <c r="G53" i="5"/>
  <c r="F17" i="5"/>
  <c r="F27" i="5"/>
  <c r="F41" i="5"/>
  <c r="F53" i="5"/>
  <c r="E17" i="5"/>
  <c r="E27" i="5"/>
  <c r="E41" i="5"/>
  <c r="E53" i="5"/>
  <c r="D17" i="5"/>
  <c r="D27" i="5"/>
  <c r="D41" i="5"/>
  <c r="D53" i="5"/>
  <c r="C17" i="5"/>
  <c r="C27" i="5"/>
  <c r="C41" i="5"/>
  <c r="C53" i="5"/>
  <c r="B17" i="5"/>
  <c r="B27" i="5"/>
  <c r="B41" i="5"/>
  <c r="B53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CX44" i="5" a="1"/>
  <c r="CX44" i="5"/>
  <c r="CX45" i="5" a="1"/>
  <c r="CX45" i="5"/>
  <c r="CX46" i="5" a="1"/>
  <c r="CX47" i="5" a="1"/>
  <c r="CX48" i="5" a="1"/>
  <c r="CX49" i="5" a="1"/>
  <c r="CX46" i="5"/>
  <c r="CX47" i="5"/>
  <c r="CX48" i="5"/>
  <c r="CX49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CX30" i="5" a="1"/>
  <c r="CX30" i="5"/>
  <c r="CX31" i="5" a="1"/>
  <c r="CX31" i="5"/>
  <c r="CX32" i="5" a="1"/>
  <c r="CX32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CX9" i="5"/>
  <c r="CX8" i="5"/>
  <c r="CX5" i="5" a="1"/>
  <c r="CX5" i="5"/>
  <c r="CX11" i="4" a="1"/>
  <c r="CX11" i="4"/>
  <c r="CX12" i="4" a="1"/>
  <c r="CX12" i="4"/>
  <c r="CX13" i="4" a="1"/>
  <c r="CX14" i="4" a="1"/>
  <c r="CX15" i="4" a="1"/>
  <c r="CX16" i="4" a="1"/>
  <c r="CX13" i="4"/>
  <c r="CX14" i="4"/>
  <c r="CX15" i="4"/>
  <c r="CX16" i="4"/>
  <c r="CX17" i="4"/>
  <c r="CX20" i="4" a="1"/>
  <c r="CX20" i="4"/>
  <c r="CX21" i="4" a="1"/>
  <c r="CX21" i="4"/>
  <c r="CX22" i="4" a="1"/>
  <c r="CX23" i="4" a="1"/>
  <c r="CX24" i="4" a="1"/>
  <c r="CX25" i="4" a="1"/>
  <c r="CX26" i="4" a="1"/>
  <c r="CX22" i="4"/>
  <c r="CX23" i="4"/>
  <c r="CX24" i="4"/>
  <c r="CX25" i="4"/>
  <c r="CX26" i="4"/>
  <c r="CX27" i="4"/>
  <c r="CX36" i="4" a="1"/>
  <c r="CX36" i="4"/>
  <c r="CX37" i="4" a="1"/>
  <c r="CX37" i="4"/>
  <c r="CX38" i="4" a="1"/>
  <c r="CX39" i="4" a="1"/>
  <c r="CX40" i="4" a="1"/>
  <c r="CX38" i="4"/>
  <c r="CX39" i="4"/>
  <c r="CX40" i="4"/>
  <c r="CX41" i="4"/>
  <c r="CX53" i="4"/>
  <c r="CW17" i="4"/>
  <c r="CW27" i="4"/>
  <c r="CW41" i="4"/>
  <c r="CW53" i="4"/>
  <c r="CV17" i="4"/>
  <c r="CV27" i="4"/>
  <c r="CV41" i="4"/>
  <c r="CV53" i="4"/>
  <c r="CU17" i="4"/>
  <c r="CU27" i="4"/>
  <c r="CU41" i="4"/>
  <c r="CU53" i="4"/>
  <c r="CT17" i="4"/>
  <c r="CT27" i="4"/>
  <c r="CT41" i="4"/>
  <c r="CT53" i="4"/>
  <c r="CS17" i="4"/>
  <c r="CS27" i="4"/>
  <c r="CS41" i="4"/>
  <c r="CS53" i="4"/>
  <c r="CR17" i="4"/>
  <c r="CR27" i="4"/>
  <c r="CR41" i="4"/>
  <c r="CR53" i="4"/>
  <c r="CQ17" i="4"/>
  <c r="CQ27" i="4"/>
  <c r="CQ41" i="4"/>
  <c r="CQ53" i="4"/>
  <c r="CP17" i="4"/>
  <c r="CP27" i="4"/>
  <c r="CP41" i="4"/>
  <c r="CP53" i="4"/>
  <c r="CO17" i="4"/>
  <c r="CO27" i="4"/>
  <c r="CO41" i="4"/>
  <c r="CO53" i="4"/>
  <c r="CN17" i="4"/>
  <c r="CN27" i="4"/>
  <c r="CN41" i="4"/>
  <c r="CN53" i="4"/>
  <c r="CM17" i="4"/>
  <c r="CM27" i="4"/>
  <c r="CM41" i="4"/>
  <c r="CM53" i="4"/>
  <c r="CL17" i="4"/>
  <c r="CL27" i="4"/>
  <c r="CL41" i="4"/>
  <c r="CL53" i="4"/>
  <c r="CK17" i="4"/>
  <c r="CK27" i="4"/>
  <c r="CK41" i="4"/>
  <c r="CK53" i="4"/>
  <c r="CJ17" i="4"/>
  <c r="CJ27" i="4"/>
  <c r="CJ41" i="4"/>
  <c r="CJ53" i="4"/>
  <c r="CI17" i="4"/>
  <c r="CI27" i="4"/>
  <c r="CI41" i="4"/>
  <c r="CI53" i="4"/>
  <c r="CH17" i="4"/>
  <c r="CH27" i="4"/>
  <c r="CH41" i="4"/>
  <c r="CH53" i="4"/>
  <c r="CG17" i="4"/>
  <c r="CG27" i="4"/>
  <c r="CG41" i="4"/>
  <c r="CG53" i="4"/>
  <c r="CF17" i="4"/>
  <c r="CF27" i="4"/>
  <c r="CF41" i="4"/>
  <c r="CF53" i="4"/>
  <c r="CE17" i="4"/>
  <c r="CE27" i="4"/>
  <c r="CE41" i="4"/>
  <c r="CE53" i="4"/>
  <c r="CD17" i="4"/>
  <c r="CD27" i="4"/>
  <c r="CD41" i="4"/>
  <c r="CD53" i="4"/>
  <c r="CC17" i="4"/>
  <c r="CC27" i="4"/>
  <c r="CC41" i="4"/>
  <c r="CC53" i="4"/>
  <c r="CB17" i="4"/>
  <c r="CB27" i="4"/>
  <c r="CB41" i="4"/>
  <c r="CB53" i="4"/>
  <c r="CA17" i="4"/>
  <c r="CA27" i="4"/>
  <c r="CA41" i="4"/>
  <c r="CA53" i="4"/>
  <c r="BZ17" i="4"/>
  <c r="BZ27" i="4"/>
  <c r="BZ41" i="4"/>
  <c r="BZ53" i="4"/>
  <c r="BY17" i="4"/>
  <c r="BY27" i="4"/>
  <c r="BY41" i="4"/>
  <c r="BY53" i="4"/>
  <c r="BX17" i="4"/>
  <c r="BX27" i="4"/>
  <c r="BX41" i="4"/>
  <c r="BX53" i="4"/>
  <c r="BW17" i="4"/>
  <c r="BW27" i="4"/>
  <c r="BW41" i="4"/>
  <c r="BW53" i="4"/>
  <c r="BV17" i="4"/>
  <c r="BV27" i="4"/>
  <c r="BV41" i="4"/>
  <c r="BV53" i="4"/>
  <c r="BU17" i="4"/>
  <c r="BU27" i="4"/>
  <c r="BU41" i="4"/>
  <c r="BU53" i="4"/>
  <c r="BT17" i="4"/>
  <c r="BT27" i="4"/>
  <c r="BT41" i="4"/>
  <c r="BT53" i="4"/>
  <c r="BS17" i="4"/>
  <c r="BS27" i="4"/>
  <c r="BS41" i="4"/>
  <c r="BS53" i="4"/>
  <c r="BR17" i="4"/>
  <c r="BR27" i="4"/>
  <c r="BR41" i="4"/>
  <c r="BR53" i="4"/>
  <c r="BQ17" i="4"/>
  <c r="BQ27" i="4"/>
  <c r="BQ41" i="4"/>
  <c r="BQ53" i="4"/>
  <c r="BP17" i="4"/>
  <c r="BP27" i="4"/>
  <c r="BP41" i="4"/>
  <c r="BP53" i="4"/>
  <c r="BO17" i="4"/>
  <c r="BO27" i="4"/>
  <c r="BO41" i="4"/>
  <c r="BO53" i="4"/>
  <c r="BN17" i="4"/>
  <c r="BN27" i="4"/>
  <c r="BN41" i="4"/>
  <c r="BN53" i="4"/>
  <c r="BM17" i="4"/>
  <c r="BM27" i="4"/>
  <c r="BM41" i="4"/>
  <c r="BM53" i="4"/>
  <c r="BL17" i="4"/>
  <c r="BL27" i="4"/>
  <c r="BL41" i="4"/>
  <c r="BL53" i="4"/>
  <c r="BK17" i="4"/>
  <c r="BK27" i="4"/>
  <c r="BK41" i="4"/>
  <c r="BK53" i="4"/>
  <c r="BJ17" i="4"/>
  <c r="BJ27" i="4"/>
  <c r="BJ41" i="4"/>
  <c r="BJ53" i="4"/>
  <c r="BI17" i="4"/>
  <c r="BI27" i="4"/>
  <c r="BI41" i="4"/>
  <c r="BI53" i="4"/>
  <c r="BH17" i="4"/>
  <c r="BH27" i="4"/>
  <c r="BH41" i="4"/>
  <c r="BH53" i="4"/>
  <c r="BG17" i="4"/>
  <c r="BG27" i="4"/>
  <c r="BG41" i="4"/>
  <c r="BG53" i="4"/>
  <c r="BF17" i="4"/>
  <c r="BF27" i="4"/>
  <c r="BF41" i="4"/>
  <c r="BF53" i="4"/>
  <c r="BE17" i="4"/>
  <c r="BE27" i="4"/>
  <c r="BE41" i="4"/>
  <c r="BE53" i="4"/>
  <c r="BD17" i="4"/>
  <c r="BD27" i="4"/>
  <c r="BD41" i="4"/>
  <c r="BD53" i="4"/>
  <c r="BC17" i="4"/>
  <c r="BC27" i="4"/>
  <c r="BC41" i="4"/>
  <c r="BC53" i="4"/>
  <c r="BB17" i="4"/>
  <c r="BB27" i="4"/>
  <c r="BB41" i="4"/>
  <c r="BB53" i="4"/>
  <c r="BA17" i="4"/>
  <c r="BA27" i="4"/>
  <c r="BA41" i="4"/>
  <c r="BA53" i="4"/>
  <c r="AZ17" i="4"/>
  <c r="AZ27" i="4"/>
  <c r="AZ41" i="4"/>
  <c r="AZ53" i="4"/>
  <c r="AY17" i="4"/>
  <c r="AY27" i="4"/>
  <c r="AY41" i="4"/>
  <c r="AY53" i="4"/>
  <c r="AX17" i="4"/>
  <c r="AX27" i="4"/>
  <c r="AX41" i="4"/>
  <c r="AX53" i="4"/>
  <c r="AW17" i="4"/>
  <c r="AW27" i="4"/>
  <c r="AW41" i="4"/>
  <c r="AW53" i="4"/>
  <c r="AV17" i="4"/>
  <c r="AV27" i="4"/>
  <c r="AV41" i="4"/>
  <c r="AV53" i="4"/>
  <c r="AU17" i="4"/>
  <c r="AU27" i="4"/>
  <c r="AU41" i="4"/>
  <c r="AU53" i="4"/>
  <c r="AT17" i="4"/>
  <c r="AT27" i="4"/>
  <c r="AT41" i="4"/>
  <c r="AT53" i="4"/>
  <c r="AS17" i="4"/>
  <c r="AS27" i="4"/>
  <c r="AS41" i="4"/>
  <c r="AS53" i="4"/>
  <c r="AR17" i="4"/>
  <c r="AR27" i="4"/>
  <c r="AR41" i="4"/>
  <c r="AR53" i="4"/>
  <c r="AQ17" i="4"/>
  <c r="AQ27" i="4"/>
  <c r="AQ41" i="4"/>
  <c r="AQ53" i="4"/>
  <c r="AP17" i="4"/>
  <c r="AP27" i="4"/>
  <c r="AP41" i="4"/>
  <c r="AP53" i="4"/>
  <c r="AO17" i="4"/>
  <c r="AO27" i="4"/>
  <c r="AO41" i="4"/>
  <c r="AO53" i="4"/>
  <c r="AN17" i="4"/>
  <c r="AN27" i="4"/>
  <c r="AN41" i="4"/>
  <c r="AN53" i="4"/>
  <c r="AM17" i="4"/>
  <c r="AM27" i="4"/>
  <c r="AM41" i="4"/>
  <c r="AM53" i="4"/>
  <c r="AL17" i="4"/>
  <c r="AL27" i="4"/>
  <c r="AL41" i="4"/>
  <c r="AL53" i="4"/>
  <c r="AK17" i="4"/>
  <c r="AK27" i="4"/>
  <c r="AK41" i="4"/>
  <c r="AK53" i="4"/>
  <c r="AJ17" i="4"/>
  <c r="AJ27" i="4"/>
  <c r="AJ41" i="4"/>
  <c r="AJ53" i="4"/>
  <c r="AI17" i="4"/>
  <c r="AI27" i="4"/>
  <c r="AI41" i="4"/>
  <c r="AI53" i="4"/>
  <c r="AH17" i="4"/>
  <c r="AH27" i="4"/>
  <c r="AH41" i="4"/>
  <c r="AH53" i="4"/>
  <c r="AG17" i="4"/>
  <c r="AG27" i="4"/>
  <c r="AG41" i="4"/>
  <c r="AG53" i="4"/>
  <c r="AF17" i="4"/>
  <c r="AF27" i="4"/>
  <c r="AF41" i="4"/>
  <c r="AF53" i="4"/>
  <c r="AE17" i="4"/>
  <c r="AE27" i="4"/>
  <c r="AE41" i="4"/>
  <c r="AE53" i="4"/>
  <c r="AD17" i="4"/>
  <c r="AD27" i="4"/>
  <c r="AD41" i="4"/>
  <c r="AD53" i="4"/>
  <c r="AC17" i="4"/>
  <c r="AC27" i="4"/>
  <c r="AC41" i="4"/>
  <c r="AC53" i="4"/>
  <c r="AB17" i="4"/>
  <c r="AB27" i="4"/>
  <c r="AB41" i="4"/>
  <c r="AB53" i="4"/>
  <c r="AA17" i="4"/>
  <c r="AA27" i="4"/>
  <c r="AA41" i="4"/>
  <c r="AA53" i="4"/>
  <c r="Z17" i="4"/>
  <c r="Z27" i="4"/>
  <c r="Z41" i="4"/>
  <c r="Z53" i="4"/>
  <c r="Y17" i="4"/>
  <c r="Y27" i="4"/>
  <c r="Y41" i="4"/>
  <c r="Y53" i="4"/>
  <c r="X17" i="4"/>
  <c r="X27" i="4"/>
  <c r="X41" i="4"/>
  <c r="X53" i="4"/>
  <c r="W17" i="4"/>
  <c r="W27" i="4"/>
  <c r="W41" i="4"/>
  <c r="W53" i="4"/>
  <c r="V17" i="4"/>
  <c r="V27" i="4"/>
  <c r="V41" i="4"/>
  <c r="V53" i="4"/>
  <c r="U17" i="4"/>
  <c r="U27" i="4"/>
  <c r="U41" i="4"/>
  <c r="U53" i="4"/>
  <c r="T17" i="4"/>
  <c r="T27" i="4"/>
  <c r="T41" i="4"/>
  <c r="T53" i="4"/>
  <c r="S17" i="4"/>
  <c r="S27" i="4"/>
  <c r="S41" i="4"/>
  <c r="S53" i="4"/>
  <c r="R17" i="4"/>
  <c r="R27" i="4"/>
  <c r="R41" i="4"/>
  <c r="R53" i="4"/>
  <c r="Q17" i="4"/>
  <c r="Q27" i="4"/>
  <c r="Q41" i="4"/>
  <c r="Q53" i="4"/>
  <c r="P17" i="4"/>
  <c r="P27" i="4"/>
  <c r="P41" i="4"/>
  <c r="P53" i="4"/>
  <c r="O17" i="4"/>
  <c r="O27" i="4"/>
  <c r="O41" i="4"/>
  <c r="O53" i="4"/>
  <c r="N17" i="4"/>
  <c r="N27" i="4"/>
  <c r="N41" i="4"/>
  <c r="N53" i="4"/>
  <c r="M17" i="4"/>
  <c r="M27" i="4"/>
  <c r="M41" i="4"/>
  <c r="M53" i="4"/>
  <c r="L17" i="4"/>
  <c r="L27" i="4"/>
  <c r="L41" i="4"/>
  <c r="L53" i="4"/>
  <c r="K17" i="4"/>
  <c r="K27" i="4"/>
  <c r="K41" i="4"/>
  <c r="K53" i="4"/>
  <c r="J17" i="4"/>
  <c r="J27" i="4"/>
  <c r="J41" i="4"/>
  <c r="J53" i="4"/>
  <c r="I17" i="4"/>
  <c r="I27" i="4"/>
  <c r="I41" i="4"/>
  <c r="I53" i="4"/>
  <c r="H17" i="4"/>
  <c r="H27" i="4"/>
  <c r="H41" i="4"/>
  <c r="H53" i="4"/>
  <c r="G17" i="4"/>
  <c r="G27" i="4"/>
  <c r="G41" i="4"/>
  <c r="G53" i="4"/>
  <c r="F17" i="4"/>
  <c r="F27" i="4"/>
  <c r="F41" i="4"/>
  <c r="F53" i="4"/>
  <c r="E17" i="4"/>
  <c r="E27" i="4"/>
  <c r="E41" i="4"/>
  <c r="E53" i="4"/>
  <c r="D17" i="4"/>
  <c r="D27" i="4"/>
  <c r="D41" i="4"/>
  <c r="D53" i="4"/>
  <c r="C17" i="4"/>
  <c r="C27" i="4"/>
  <c r="C41" i="4"/>
  <c r="C53" i="4"/>
  <c r="B17" i="4"/>
  <c r="B27" i="4"/>
  <c r="B41" i="4"/>
  <c r="B53" i="4"/>
  <c r="CW52" i="4"/>
  <c r="CV52" i="4"/>
  <c r="CU52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CX44" i="4" a="1"/>
  <c r="CX44" i="4"/>
  <c r="CX45" i="4" a="1"/>
  <c r="CX45" i="4"/>
  <c r="CX46" i="4" a="1"/>
  <c r="CX47" i="4" a="1"/>
  <c r="CX48" i="4" a="1"/>
  <c r="CX49" i="4" a="1"/>
  <c r="CX46" i="4"/>
  <c r="CX47" i="4"/>
  <c r="CX48" i="4"/>
  <c r="CX49" i="4"/>
  <c r="CX50" i="4"/>
  <c r="CW50" i="4"/>
  <c r="CV50" i="4"/>
  <c r="CU50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CX30" i="4" a="1"/>
  <c r="CX30" i="4"/>
  <c r="CX31" i="4" a="1"/>
  <c r="CX31" i="4"/>
  <c r="CX32" i="4" a="1"/>
  <c r="CX32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X9" i="4"/>
  <c r="CX8" i="4"/>
  <c r="CX5" i="4" a="1"/>
  <c r="CX5" i="4"/>
</calcChain>
</file>

<file path=xl/sharedStrings.xml><?xml version="1.0" encoding="utf-8"?>
<sst xmlns="http://schemas.openxmlformats.org/spreadsheetml/2006/main" count="122" uniqueCount="56">
  <si>
    <t>Publication on: 20/01/2026 18:20:31</t>
  </si>
  <si>
    <t>TOTAL (MWh)</t>
  </si>
  <si>
    <t>Total SELL Trades</t>
  </si>
  <si>
    <t>Greece Mainland</t>
  </si>
  <si>
    <t>Market Clearing Price</t>
  </si>
  <si>
    <t>Greece Mainland  (15min MCP)</t>
  </si>
  <si>
    <t>Greece Mainland (60min Index)</t>
  </si>
  <si>
    <t>PRODUCTION TECHNOLOGY / MTU</t>
  </si>
  <si>
    <t>LIGNITE</t>
  </si>
  <si>
    <t>CRETE CONVENTIONAL</t>
  </si>
  <si>
    <t>GAS</t>
  </si>
  <si>
    <t>HYDRO</t>
  </si>
  <si>
    <t>RENEWABLES</t>
  </si>
  <si>
    <t>CRETE RENEWABLES</t>
  </si>
  <si>
    <t>PRODUCTION</t>
  </si>
  <si>
    <t>DEMAND / MTU</t>
  </si>
  <si>
    <t>HV LOAD</t>
  </si>
  <si>
    <t>MV LOAD</t>
  </si>
  <si>
    <t>LV LOAD</t>
  </si>
  <si>
    <t>PUMP</t>
  </si>
  <si>
    <t>SYSTEM LOSSES</t>
  </si>
  <si>
    <t>CRETE LOAD</t>
  </si>
  <si>
    <t>D/R LOAD</t>
  </si>
  <si>
    <t>DEMAND</t>
  </si>
  <si>
    <t>SELL TRADES Price Type /  MTU</t>
  </si>
  <si>
    <t>Priority Price-Taking</t>
  </si>
  <si>
    <t>Hybrid</t>
  </si>
  <si>
    <t>Block</t>
  </si>
  <si>
    <t>SELL</t>
  </si>
  <si>
    <t>BORDER IMPORTS</t>
  </si>
  <si>
    <t>AL-GR</t>
  </si>
  <si>
    <t>MK-GR</t>
  </si>
  <si>
    <t>BG-GR</t>
  </si>
  <si>
    <t>TR-GR</t>
  </si>
  <si>
    <t>IT-GR</t>
  </si>
  <si>
    <t xml:space="preserve"> IMPORTS</t>
  </si>
  <si>
    <t>BORDER IMPORTS (IMPLICIT)</t>
  </si>
  <si>
    <t>CR-GR</t>
  </si>
  <si>
    <t xml:space="preserve"> IMPORTS (IMPLICIT)</t>
  </si>
  <si>
    <t>Total BUY Trades</t>
  </si>
  <si>
    <t>BUY TRADES Price Type /  MTU</t>
  </si>
  <si>
    <t>BUY</t>
  </si>
  <si>
    <t>BORDER EXPORTS</t>
  </si>
  <si>
    <t>GR-AL</t>
  </si>
  <si>
    <t>GR-MK</t>
  </si>
  <si>
    <t>GR-BG</t>
  </si>
  <si>
    <t>GR-TR</t>
  </si>
  <si>
    <t>GR-IT</t>
  </si>
  <si>
    <t>EXPORTS</t>
  </si>
  <si>
    <t>BORDER EXPORTS (IMPLICIT)</t>
  </si>
  <si>
    <t>GR-CR</t>
  </si>
  <si>
    <t>EXPORTS (IMPLICIT)</t>
  </si>
  <si>
    <t>BIDDING ZONE NET POSITION</t>
  </si>
  <si>
    <t>IMPORTS (IMPLICIT)</t>
  </si>
  <si>
    <t>Day-Ahead Market</t>
  </si>
  <si>
    <t>Day-Ahead Market Coupling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</si>
</sst>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H\o\u\r\-00"/>
    <numFmt numFmtId="165" formatCode="[$-409]dddd\,\ dd\ mmmm\,\ yyyy"/>
    <numFmt numFmtId="166" formatCode="00"/>
    <numFmt numFmtId="167" formatCode="#,##0.000"/>
    <numFmt numFmtId="168" formatCode="0.000"/>
  </numFmts>
  <fonts count="1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6"/>
      <name val="Arial"/>
      <family val="2"/>
      <charset val="161"/>
    </font>
    <font>
      <b/>
      <sz val="14"/>
      <name val="Arial"/>
      <family val="2"/>
      <charset val="161"/>
    </font>
    <font>
      <sz val="12"/>
      <name val="Arial"/>
      <family val="2"/>
      <charset val="161"/>
    </font>
    <font>
      <sz val="11"/>
      <color theme="1"/>
      <name val="Arial"/>
      <family val="2"/>
      <charset val="161"/>
    </font>
    <font>
      <b/>
      <sz val="14"/>
      <color theme="0"/>
      <name val="Arial"/>
      <family val="2"/>
      <charset val="161"/>
    </font>
    <font>
      <b/>
      <sz val="12"/>
      <color theme="0"/>
      <name val="Arial"/>
      <family val="2"/>
      <charset val="161"/>
    </font>
    <font>
      <b/>
      <sz val="11"/>
      <color theme="0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1"/>
      <name val="Arial"/>
      <family val="2"/>
      <charset val="161"/>
    </font>
    <font>
      <b/>
      <sz val="12"/>
      <name val="Arial"/>
      <family val="2"/>
      <charset val="161"/>
    </font>
    <font>
      <b/>
      <sz val="12"/>
      <color theme="1"/>
      <name val="Arial"/>
      <family val="2"/>
      <charset val="161"/>
    </font>
    <font>
      <b/>
      <sz val="10"/>
      <color theme="1"/>
      <name val="Arial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6">
    <xf numFmtId="0" fontId="0" fillId="0" borderId="0" xfId="0"/>
    <xf numFmtId="0" fontId="2" fillId="0" borderId="1" xfId="1" applyFont="1" applyBorder="1" applyAlignment="1">
      <alignment horizontal="left" vertical="center" indent="1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0" xfId="1" applyFont="1" applyAlignment="1">
      <alignment vertical="center" shrinkToFit="1"/>
    </xf>
    <xf numFmtId="0" fontId="2" fillId="0" borderId="0" xfId="1" applyFont="1" applyAlignment="1">
      <alignment horizontal="left" vertical="center" indent="1"/>
    </xf>
    <xf numFmtId="164" fontId="3" fillId="2" borderId="2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 indent="1" shrinkToFit="1"/>
    </xf>
    <xf numFmtId="165" fontId="6" fillId="3" borderId="2" xfId="1" applyNumberFormat="1" applyFont="1" applyFill="1" applyBorder="1" applyAlignment="1" applyProtection="1">
      <alignment horizontal="left" vertical="center" indent="1" shrinkToFit="1"/>
      <protection locked="0"/>
    </xf>
    <xf numFmtId="166" fontId="7" fillId="3" borderId="3" xfId="1" applyNumberFormat="1" applyFont="1" applyFill="1" applyBorder="1" applyAlignment="1" applyProtection="1">
      <alignment horizontal="center" vertical="center"/>
      <protection hidden="1"/>
    </xf>
    <xf numFmtId="166" fontId="7" fillId="3" borderId="4" xfId="1" applyNumberFormat="1" applyFont="1" applyFill="1" applyBorder="1" applyAlignment="1" applyProtection="1">
      <alignment horizontal="center" vertical="center"/>
      <protection hidden="1"/>
    </xf>
    <xf numFmtId="166" fontId="7" fillId="3" borderId="5" xfId="1" applyNumberFormat="1" applyFont="1" applyFill="1" applyBorder="1" applyAlignment="1" applyProtection="1">
      <alignment horizontal="center" vertical="center"/>
      <protection hidden="1"/>
    </xf>
    <xf numFmtId="166" fontId="7" fillId="3" borderId="6" xfId="1" applyNumberFormat="1" applyFont="1" applyFill="1" applyBorder="1" applyAlignment="1" applyProtection="1">
      <alignment horizontal="center" vertical="center"/>
      <protection hidden="1"/>
    </xf>
    <xf numFmtId="166" fontId="7" fillId="3" borderId="7" xfId="1" applyNumberFormat="1" applyFont="1" applyFill="1" applyBorder="1" applyAlignment="1" applyProtection="1">
      <alignment horizontal="center" vertical="center"/>
      <protection hidden="1"/>
    </xf>
    <xf numFmtId="166" fontId="7" fillId="3" borderId="8" xfId="1" applyNumberFormat="1" applyFont="1" applyFill="1" applyBorder="1" applyAlignment="1" applyProtection="1">
      <alignment horizontal="center" vertical="center"/>
      <protection hidden="1"/>
    </xf>
    <xf numFmtId="166" fontId="7" fillId="3" borderId="9" xfId="1" applyNumberFormat="1" applyFont="1" applyFill="1" applyBorder="1" applyAlignment="1" applyProtection="1">
      <alignment horizontal="center" vertical="center"/>
      <protection hidden="1"/>
    </xf>
    <xf numFmtId="0" fontId="7" fillId="3" borderId="2" xfId="1" applyFont="1" applyFill="1" applyBorder="1" applyAlignment="1" applyProtection="1">
      <alignment horizontal="center" vertical="center"/>
      <protection hidden="1"/>
    </xf>
    <xf numFmtId="0" fontId="7" fillId="3" borderId="2" xfId="1" applyFont="1" applyFill="1" applyBorder="1" applyAlignment="1" applyProtection="1">
      <alignment horizontal="left" vertical="center" indent="1"/>
      <protection hidden="1"/>
    </xf>
    <xf numFmtId="167" fontId="8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8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8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9" fillId="0" borderId="12" xfId="1" applyFont="1" applyBorder="1" applyAlignment="1" applyProtection="1">
      <alignment horizontal="left" vertical="center" indent="1"/>
      <protection hidden="1"/>
    </xf>
    <xf numFmtId="0" fontId="9" fillId="0" borderId="13" xfId="1" applyFont="1" applyBorder="1" applyAlignment="1" applyProtection="1">
      <alignment horizontal="right" vertical="center" shrinkToFit="1"/>
      <protection locked="0" hidden="1"/>
    </xf>
    <xf numFmtId="0" fontId="9" fillId="0" borderId="14" xfId="1" applyFont="1" applyBorder="1" applyAlignment="1" applyProtection="1">
      <alignment horizontal="right" vertical="center" shrinkToFit="1"/>
      <protection locked="0" hidden="1"/>
    </xf>
    <xf numFmtId="0" fontId="9" fillId="0" borderId="15" xfId="1" applyFont="1" applyBorder="1" applyAlignment="1" applyProtection="1">
      <alignment horizontal="right" vertical="center" shrinkToFit="1"/>
      <protection locked="0" hidden="1"/>
    </xf>
    <xf numFmtId="0" fontId="9" fillId="0" borderId="16" xfId="1" applyFont="1" applyBorder="1" applyAlignment="1" applyProtection="1">
      <alignment horizontal="right" vertical="center" shrinkToFit="1"/>
      <protection locked="0" hidden="1"/>
    </xf>
    <xf numFmtId="167" fontId="8" fillId="4" borderId="12" xfId="1" applyNumberFormat="1" applyFont="1" applyFill="1" applyBorder="1" applyAlignment="1" applyProtection="1">
      <alignment horizontal="right" vertical="center" shrinkToFit="1"/>
      <protection hidden="1"/>
    </xf>
    <xf numFmtId="0" fontId="9" fillId="0" borderId="17" xfId="1" applyFont="1" applyBorder="1" applyAlignment="1" applyProtection="1">
      <alignment horizontal="left" vertical="center" indent="1"/>
      <protection hidden="1"/>
    </xf>
    <xf numFmtId="0" fontId="9" fillId="0" borderId="18" xfId="1" applyFont="1" applyBorder="1" applyAlignment="1" applyProtection="1">
      <alignment horizontal="right" vertical="center" shrinkToFit="1"/>
      <protection locked="0" hidden="1"/>
    </xf>
    <xf numFmtId="0" fontId="9" fillId="0" borderId="19" xfId="1" applyFont="1" applyBorder="1" applyAlignment="1" applyProtection="1">
      <alignment horizontal="right" vertical="center" shrinkToFit="1"/>
      <protection locked="0" hidden="1"/>
    </xf>
    <xf numFmtId="0" fontId="9" fillId="0" borderId="20" xfId="1" applyFont="1" applyBorder="1" applyAlignment="1" applyProtection="1">
      <alignment horizontal="right" vertical="center" shrinkToFit="1"/>
      <protection locked="0" hidden="1"/>
    </xf>
    <xf numFmtId="0" fontId="9" fillId="0" borderId="21" xfId="1" applyFont="1" applyBorder="1" applyAlignment="1" applyProtection="1">
      <alignment horizontal="right" vertical="center" shrinkToFit="1"/>
      <protection locked="0" hidden="1"/>
    </xf>
    <xf numFmtId="0" fontId="9" fillId="0" borderId="22" xfId="1" applyFont="1" applyBorder="1" applyAlignment="1" applyProtection="1">
      <alignment horizontal="right" vertical="center" shrinkToFit="1"/>
      <protection hidden="1"/>
    </xf>
    <xf numFmtId="0" fontId="10" fillId="0" borderId="12" xfId="1" applyFont="1" applyBorder="1" applyAlignment="1" applyProtection="1">
      <alignment horizontal="left" vertical="center" indent="1" shrinkToFit="1"/>
      <protection hidden="1"/>
    </xf>
    <xf numFmtId="2" fontId="10" fillId="0" borderId="13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4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5" xfId="1" applyNumberFormat="1" applyFont="1" applyBorder="1" applyAlignment="1" applyProtection="1">
      <alignment horizontal="right" vertical="center" shrinkToFit="1"/>
      <protection locked="0" hidden="1"/>
    </xf>
    <xf numFmtId="2" fontId="10" fillId="0" borderId="16" xfId="1" applyNumberFormat="1" applyFont="1" applyBorder="1" applyAlignment="1" applyProtection="1">
      <alignment horizontal="right" vertical="center" shrinkToFit="1"/>
      <protection locked="0" hidden="1"/>
    </xf>
    <xf numFmtId="4" fontId="8" fillId="4" borderId="12" xfId="1" applyNumberFormat="1" applyFont="1" applyFill="1" applyBorder="1" applyAlignment="1" applyProtection="1">
      <alignment horizontal="right" vertical="center" shrinkToFit="1"/>
      <protection hidden="1"/>
    </xf>
    <xf numFmtId="0" fontId="10" fillId="0" borderId="23" xfId="1" applyFont="1" applyBorder="1" applyAlignment="1" applyProtection="1">
      <alignment horizontal="left" vertical="center" indent="1" shrinkToFit="1"/>
      <protection hidden="1"/>
    </xf>
    <xf numFmtId="0" fontId="10" fillId="0" borderId="18" xfId="1" applyFont="1" applyBorder="1" applyAlignment="1" applyProtection="1">
      <alignment horizontal="right" vertical="center" shrinkToFit="1"/>
      <protection locked="0" hidden="1"/>
    </xf>
    <xf numFmtId="0" fontId="10" fillId="0" borderId="19" xfId="1" applyFont="1" applyBorder="1" applyAlignment="1" applyProtection="1">
      <alignment horizontal="right" vertical="center" shrinkToFit="1"/>
      <protection locked="0" hidden="1"/>
    </xf>
    <xf numFmtId="0" fontId="10" fillId="0" borderId="24" xfId="1" applyFont="1" applyBorder="1" applyAlignment="1" applyProtection="1">
      <alignment horizontal="right" vertical="center" shrinkToFit="1"/>
      <protection locked="0" hidden="1"/>
    </xf>
    <xf numFmtId="0" fontId="10" fillId="0" borderId="25" xfId="1" applyFont="1" applyBorder="1" applyAlignment="1" applyProtection="1">
      <alignment horizontal="right" vertical="center" shrinkToFit="1"/>
      <protection locked="0" hidden="1"/>
    </xf>
    <xf numFmtId="4" fontId="8" fillId="4" borderId="26" xfId="1" applyNumberFormat="1" applyFont="1" applyFill="1" applyBorder="1" applyAlignment="1" applyProtection="1">
      <alignment horizontal="right" vertical="center" shrinkToFit="1"/>
      <protection hidden="1"/>
    </xf>
    <xf numFmtId="0" fontId="7" fillId="5" borderId="2" xfId="1" applyFont="1" applyFill="1" applyBorder="1" applyAlignment="1" applyProtection="1">
      <alignment horizontal="left" vertical="center"/>
      <protection hidden="1"/>
    </xf>
    <xf numFmtId="166" fontId="7" fillId="0" borderId="10" xfId="1" applyNumberFormat="1" applyFont="1" applyBorder="1" applyAlignment="1" applyProtection="1">
      <alignment horizontal="center" vertical="center"/>
      <protection hidden="1"/>
    </xf>
    <xf numFmtId="166" fontId="7" fillId="0" borderId="8" xfId="1" applyNumberFormat="1" applyFont="1" applyBorder="1" applyAlignment="1" applyProtection="1">
      <alignment horizontal="center" vertical="center"/>
      <protection hidden="1"/>
    </xf>
    <xf numFmtId="166" fontId="7" fillId="0" borderId="11" xfId="1" applyNumberFormat="1" applyFont="1" applyBorder="1" applyAlignment="1" applyProtection="1">
      <alignment horizontal="center" vertical="center"/>
      <protection hidden="1"/>
    </xf>
    <xf numFmtId="0" fontId="11" fillId="0" borderId="12" xfId="1" applyFont="1" applyBorder="1" applyAlignment="1" applyProtection="1">
      <alignment horizontal="left" vertical="center" indent="1" shrinkToFit="1"/>
      <protection hidden="1"/>
    </xf>
    <xf numFmtId="0" fontId="9" fillId="0" borderId="13" xfId="1" applyFont="1" applyBorder="1" applyAlignment="1" applyProtection="1">
      <alignment horizontal="right" vertical="center" shrinkToFit="1"/>
      <protection hidden="1"/>
    </xf>
    <xf numFmtId="0" fontId="9" fillId="0" borderId="14" xfId="1" applyFont="1" applyBorder="1" applyAlignment="1" applyProtection="1">
      <alignment horizontal="right" vertical="center" shrinkToFit="1"/>
      <protection hidden="1"/>
    </xf>
    <xf numFmtId="0" fontId="9" fillId="0" borderId="15" xfId="1" applyFont="1" applyBorder="1" applyAlignment="1" applyProtection="1">
      <alignment horizontal="right" vertical="center" shrinkToFit="1"/>
      <protection hidden="1"/>
    </xf>
    <xf numFmtId="0" fontId="9" fillId="0" borderId="16" xfId="1" applyFont="1" applyBorder="1" applyAlignment="1" applyProtection="1">
      <alignment horizontal="right" vertical="center" shrinkToFit="1"/>
      <protection hidden="1"/>
    </xf>
    <xf numFmtId="167" fontId="9" fillId="0" borderId="12" xfId="1" applyNumberFormat="1" applyFont="1" applyBorder="1" applyAlignment="1" applyProtection="1">
      <alignment horizontal="right" vertical="center" shrinkToFit="1"/>
      <protection hidden="1"/>
    </xf>
    <xf numFmtId="0" fontId="11" fillId="0" borderId="27" xfId="1" applyFont="1" applyBorder="1" applyAlignment="1" applyProtection="1">
      <alignment horizontal="left" vertical="center" indent="1" shrinkToFit="1"/>
      <protection hidden="1"/>
    </xf>
    <xf numFmtId="0" fontId="9" fillId="0" borderId="28" xfId="1" applyFont="1" applyBorder="1" applyAlignment="1" applyProtection="1">
      <alignment horizontal="right" vertical="center" shrinkToFit="1"/>
      <protection hidden="1"/>
    </xf>
    <xf numFmtId="0" fontId="9" fillId="0" borderId="29" xfId="1" applyFont="1" applyBorder="1" applyAlignment="1" applyProtection="1">
      <alignment horizontal="right" vertical="center" shrinkToFit="1"/>
      <protection hidden="1"/>
    </xf>
    <xf numFmtId="0" fontId="9" fillId="0" borderId="30" xfId="1" applyFont="1" applyBorder="1" applyAlignment="1" applyProtection="1">
      <alignment horizontal="right" vertical="center" shrinkToFit="1"/>
      <protection hidden="1"/>
    </xf>
    <xf numFmtId="0" fontId="9" fillId="0" borderId="31" xfId="1" applyFont="1" applyBorder="1" applyAlignment="1" applyProtection="1">
      <alignment horizontal="right" vertical="center" shrinkToFit="1"/>
      <protection hidden="1"/>
    </xf>
    <xf numFmtId="167" fontId="9" fillId="0" borderId="27" xfId="1" applyNumberFormat="1" applyFont="1" applyBorder="1" applyAlignment="1" applyProtection="1">
      <alignment horizontal="right" vertical="center" shrinkToFit="1"/>
      <protection hidden="1"/>
    </xf>
    <xf numFmtId="0" fontId="11" fillId="0" borderId="32" xfId="1" applyFont="1" applyBorder="1" applyAlignment="1" applyProtection="1">
      <alignment horizontal="left" vertical="center" indent="1" shrinkToFit="1"/>
      <protection hidden="1"/>
    </xf>
    <xf numFmtId="0" fontId="9" fillId="0" borderId="33" xfId="1" applyFont="1" applyBorder="1" applyAlignment="1" applyProtection="1">
      <alignment horizontal="right" vertical="center" shrinkToFit="1"/>
      <protection hidden="1"/>
    </xf>
    <xf numFmtId="0" fontId="9" fillId="0" borderId="34" xfId="1" applyFont="1" applyBorder="1" applyAlignment="1" applyProtection="1">
      <alignment horizontal="right" vertical="center" shrinkToFit="1"/>
      <protection hidden="1"/>
    </xf>
    <xf numFmtId="0" fontId="9" fillId="0" borderId="35" xfId="1" applyFont="1" applyBorder="1" applyAlignment="1" applyProtection="1">
      <alignment horizontal="right" vertical="center" shrinkToFit="1"/>
      <protection hidden="1"/>
    </xf>
    <xf numFmtId="0" fontId="9" fillId="0" borderId="36" xfId="1" applyFont="1" applyBorder="1" applyAlignment="1" applyProtection="1">
      <alignment horizontal="right" vertical="center" shrinkToFit="1"/>
      <protection hidden="1"/>
    </xf>
    <xf numFmtId="167" fontId="9" fillId="0" borderId="32" xfId="1" applyNumberFormat="1" applyFont="1" applyBorder="1" applyAlignment="1" applyProtection="1">
      <alignment horizontal="right" vertical="center" shrinkToFit="1"/>
      <protection hidden="1"/>
    </xf>
    <xf numFmtId="0" fontId="11" fillId="0" borderId="23" xfId="1" applyFont="1" applyBorder="1" applyAlignment="1" applyProtection="1">
      <alignment horizontal="left" vertical="center" indent="1" shrinkToFit="1"/>
      <protection hidden="1"/>
    </xf>
    <xf numFmtId="0" fontId="9" fillId="0" borderId="37" xfId="1" applyFont="1" applyBorder="1" applyAlignment="1" applyProtection="1">
      <alignment horizontal="right" vertical="center" shrinkToFit="1"/>
      <protection hidden="1"/>
    </xf>
    <xf numFmtId="0" fontId="9" fillId="0" borderId="38" xfId="1" applyFont="1" applyBorder="1" applyAlignment="1" applyProtection="1">
      <alignment horizontal="right" vertical="center" shrinkToFit="1"/>
      <protection hidden="1"/>
    </xf>
    <xf numFmtId="0" fontId="9" fillId="0" borderId="24" xfId="1" applyFont="1" applyBorder="1" applyAlignment="1" applyProtection="1">
      <alignment horizontal="right" vertical="center" shrinkToFit="1"/>
      <protection hidden="1"/>
    </xf>
    <xf numFmtId="0" fontId="9" fillId="0" borderId="25" xfId="1" applyFont="1" applyBorder="1" applyAlignment="1" applyProtection="1">
      <alignment horizontal="right" vertical="center" shrinkToFit="1"/>
      <protection hidden="1"/>
    </xf>
    <xf numFmtId="167" fontId="9" fillId="0" borderId="23" xfId="1" applyNumberFormat="1" applyFont="1" applyBorder="1" applyAlignment="1" applyProtection="1">
      <alignment horizontal="right" vertical="center" shrinkToFit="1"/>
      <protection hidden="1"/>
    </xf>
    <xf numFmtId="0" fontId="7" fillId="4" borderId="26" xfId="1" applyFont="1" applyFill="1" applyBorder="1" applyAlignment="1" applyProtection="1">
      <alignment horizontal="left" vertical="center" indent="1" shrinkToFit="1"/>
      <protection hidden="1"/>
    </xf>
    <xf numFmtId="168" fontId="8" fillId="4" borderId="18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19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20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21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26" xfId="1" applyNumberFormat="1" applyFont="1" applyFill="1" applyBorder="1" applyAlignment="1" applyProtection="1">
      <alignment horizontal="right" vertical="center" shrinkToFit="1"/>
      <protection hidden="1"/>
    </xf>
    <xf numFmtId="0" fontId="12" fillId="0" borderId="39" xfId="1" applyFont="1" applyBorder="1" applyAlignment="1" applyProtection="1">
      <alignment horizontal="left" vertical="center" indent="1" shrinkToFit="1"/>
      <protection hidden="1"/>
    </xf>
    <xf numFmtId="167" fontId="13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7" fillId="3" borderId="2" xfId="1" applyFont="1" applyFill="1" applyBorder="1" applyAlignment="1" applyProtection="1">
      <alignment horizontal="left" vertical="center"/>
      <protection hidden="1"/>
    </xf>
    <xf numFmtId="0" fontId="9" fillId="6" borderId="12" xfId="1" applyFont="1" applyFill="1" applyBorder="1" applyAlignment="1" applyProtection="1">
      <alignment horizontal="left" vertical="center" indent="1"/>
      <protection hidden="1"/>
    </xf>
    <xf numFmtId="0" fontId="9" fillId="0" borderId="13" xfId="1" applyFont="1" applyBorder="1" applyAlignment="1">
      <alignment horizontal="right" vertical="center"/>
    </xf>
    <xf numFmtId="0" fontId="9" fillId="0" borderId="14" xfId="1" applyFont="1" applyBorder="1" applyAlignment="1">
      <alignment horizontal="right" vertical="center"/>
    </xf>
    <xf numFmtId="0" fontId="9" fillId="0" borderId="15" xfId="1" applyFont="1" applyBorder="1" applyAlignment="1">
      <alignment horizontal="right" vertical="center"/>
    </xf>
    <xf numFmtId="0" fontId="9" fillId="0" borderId="16" xfId="1" applyFont="1" applyBorder="1" applyAlignment="1">
      <alignment horizontal="right" vertical="center"/>
    </xf>
    <xf numFmtId="167" fontId="9" fillId="6" borderId="12" xfId="1" applyNumberFormat="1" applyFont="1" applyFill="1" applyBorder="1" applyAlignment="1">
      <alignment horizontal="right" vertical="center"/>
    </xf>
    <xf numFmtId="0" fontId="9" fillId="7" borderId="27" xfId="1" applyFont="1" applyFill="1" applyBorder="1" applyAlignment="1" applyProtection="1">
      <alignment horizontal="left" vertical="center" indent="1"/>
      <protection hidden="1"/>
    </xf>
    <xf numFmtId="0" fontId="9" fillId="0" borderId="33" xfId="1" applyFont="1" applyBorder="1" applyAlignment="1">
      <alignment horizontal="right" vertical="center"/>
    </xf>
    <xf numFmtId="0" fontId="9" fillId="0" borderId="34" xfId="1" applyFont="1" applyBorder="1" applyAlignment="1">
      <alignment horizontal="right" vertical="center"/>
    </xf>
    <xf numFmtId="0" fontId="9" fillId="0" borderId="35" xfId="1" applyFont="1" applyBorder="1" applyAlignment="1">
      <alignment horizontal="right" vertical="center"/>
    </xf>
    <xf numFmtId="0" fontId="9" fillId="0" borderId="36" xfId="1" applyFont="1" applyBorder="1" applyAlignment="1">
      <alignment horizontal="right" vertical="center"/>
    </xf>
    <xf numFmtId="167" fontId="9" fillId="6" borderId="32" xfId="1" applyNumberFormat="1" applyFont="1" applyFill="1" applyBorder="1" applyAlignment="1">
      <alignment horizontal="right" vertical="center"/>
    </xf>
    <xf numFmtId="0" fontId="9" fillId="0" borderId="37" xfId="1" applyFont="1" applyBorder="1" applyAlignment="1">
      <alignment horizontal="right" vertical="center"/>
    </xf>
    <xf numFmtId="0" fontId="9" fillId="0" borderId="38" xfId="1" applyFont="1" applyBorder="1" applyAlignment="1">
      <alignment horizontal="right" vertical="center"/>
    </xf>
    <xf numFmtId="0" fontId="9" fillId="0" borderId="24" xfId="1" applyFont="1" applyBorder="1" applyAlignment="1">
      <alignment horizontal="right" vertical="center"/>
    </xf>
    <xf numFmtId="0" fontId="9" fillId="7" borderId="17" xfId="1" applyFont="1" applyFill="1" applyBorder="1" applyAlignment="1" applyProtection="1">
      <alignment horizontal="left" vertical="center" indent="1"/>
      <protection hidden="1"/>
    </xf>
    <xf numFmtId="0" fontId="9" fillId="0" borderId="25" xfId="1" applyFont="1" applyBorder="1" applyAlignment="1">
      <alignment horizontal="right" vertical="center"/>
    </xf>
    <xf numFmtId="167" fontId="9" fillId="6" borderId="23" xfId="1" applyNumberFormat="1" applyFont="1" applyFill="1" applyBorder="1" applyAlignment="1">
      <alignment horizontal="right" vertical="center"/>
    </xf>
    <xf numFmtId="0" fontId="9" fillId="0" borderId="32" xfId="1" applyFont="1" applyBorder="1" applyAlignment="1" applyProtection="1">
      <alignment horizontal="left" vertical="center" indent="1"/>
      <protection hidden="1"/>
    </xf>
    <xf numFmtId="0" fontId="7" fillId="4" borderId="22" xfId="1" applyFont="1" applyFill="1" applyBorder="1" applyAlignment="1" applyProtection="1">
      <alignment horizontal="left" vertical="center" indent="1" shrinkToFit="1"/>
      <protection hidden="1"/>
    </xf>
    <xf numFmtId="168" fontId="8" fillId="4" borderId="40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1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2" xfId="1" applyNumberFormat="1" applyFont="1" applyFill="1" applyBorder="1" applyAlignment="1" applyProtection="1">
      <alignment horizontal="right" vertical="center" shrinkToFit="1"/>
      <protection hidden="1"/>
    </xf>
    <xf numFmtId="168" fontId="8" fillId="4" borderId="43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22" xfId="1" applyNumberFormat="1" applyFont="1" applyFill="1" applyBorder="1" applyAlignment="1" applyProtection="1">
      <alignment horizontal="right" vertical="center" shrinkToFit="1"/>
      <protection hidden="1"/>
    </xf>
    <xf numFmtId="166" fontId="7" fillId="0" borderId="44" xfId="1" applyNumberFormat="1" applyFont="1" applyBorder="1" applyAlignment="1" applyProtection="1">
      <alignment horizontal="center" vertical="center"/>
      <protection hidden="1"/>
    </xf>
    <xf numFmtId="166" fontId="7" fillId="0" borderId="45" xfId="1" applyNumberFormat="1" applyFont="1" applyBorder="1" applyAlignment="1" applyProtection="1">
      <alignment horizontal="center" vertical="center"/>
      <protection hidden="1"/>
    </xf>
    <xf numFmtId="166" fontId="7" fillId="0" borderId="46" xfId="1" applyNumberFormat="1" applyFont="1" applyBorder="1" applyAlignment="1" applyProtection="1">
      <alignment horizontal="center" vertical="center"/>
      <protection hidden="1"/>
    </xf>
    <xf numFmtId="0" fontId="9" fillId="6" borderId="13" xfId="1" applyFont="1" applyFill="1" applyBorder="1" applyAlignment="1">
      <alignment horizontal="right" vertical="center"/>
    </xf>
    <xf numFmtId="0" fontId="9" fillId="6" borderId="47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right" vertical="center"/>
    </xf>
    <xf numFmtId="0" fontId="9" fillId="6" borderId="16" xfId="1" applyFont="1" applyFill="1" applyBorder="1" applyAlignment="1">
      <alignment horizontal="right" vertical="center"/>
    </xf>
    <xf numFmtId="0" fontId="9" fillId="6" borderId="32" xfId="1" applyFont="1" applyFill="1" applyBorder="1" applyAlignment="1" applyProtection="1">
      <alignment horizontal="left" vertical="center" indent="1"/>
      <protection hidden="1"/>
    </xf>
    <xf numFmtId="0" fontId="9" fillId="6" borderId="33" xfId="1" applyFont="1" applyFill="1" applyBorder="1" applyAlignment="1">
      <alignment horizontal="right" vertical="center"/>
    </xf>
    <xf numFmtId="0" fontId="9" fillId="6" borderId="34" xfId="1" applyFont="1" applyFill="1" applyBorder="1" applyAlignment="1">
      <alignment horizontal="right" vertical="center"/>
    </xf>
    <xf numFmtId="0" fontId="9" fillId="6" borderId="36" xfId="1" applyFont="1" applyFill="1" applyBorder="1" applyAlignment="1">
      <alignment horizontal="right" vertical="center"/>
    </xf>
    <xf numFmtId="0" fontId="9" fillId="6" borderId="35" xfId="1" applyFont="1" applyFill="1" applyBorder="1" applyAlignment="1">
      <alignment horizontal="right" vertical="center"/>
    </xf>
    <xf numFmtId="0" fontId="7" fillId="0" borderId="0" xfId="1" applyFont="1" applyAlignment="1" applyProtection="1">
      <alignment horizontal="left" vertical="center" indent="1" shrinkToFit="1"/>
      <protection hidden="1"/>
    </xf>
    <xf numFmtId="168" fontId="8" fillId="0" borderId="0" xfId="1" applyNumberFormat="1" applyFont="1" applyAlignment="1" applyProtection="1">
      <alignment horizontal="right" vertical="center" shrinkToFit="1"/>
      <protection hidden="1"/>
    </xf>
    <xf numFmtId="167" fontId="8" fillId="0" borderId="0" xfId="1" applyNumberFormat="1" applyFont="1" applyAlignment="1" applyProtection="1">
      <alignment horizontal="right" vertical="center" shrinkToFit="1"/>
      <protection hidden="1"/>
    </xf>
    <xf numFmtId="167" fontId="8" fillId="4" borderId="2" xfId="1" applyNumberFormat="1" applyFont="1" applyFill="1" applyBorder="1" applyAlignment="1" applyProtection="1">
      <alignment horizontal="right" vertical="center" shrinkToFit="1"/>
      <protection hidden="1"/>
    </xf>
    <xf numFmtId="0" fontId="3" fillId="0" borderId="1" xfId="1" applyFont="1" applyBorder="1" applyAlignment="1">
      <alignment vertical="center" shrinkToFit="1"/>
    </xf>
    <xf numFmtId="0" fontId="7" fillId="5" borderId="2" xfId="1" applyFont="1" applyFill="1" applyBorder="1" applyAlignment="1" applyProtection="1">
      <alignment horizontal="center" vertical="center"/>
      <protection hidden="1"/>
    </xf>
    <xf numFmtId="0" fontId="5" fillId="0" borderId="1" xfId="1" applyFont="1" applyBorder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right" vertical="center" indent="1"/>
    </xf>
    <xf numFmtId="167" fontId="8" fillId="3" borderId="12" xfId="1" applyNumberFormat="1" applyFont="1" applyFill="1" applyBorder="1" applyAlignment="1" applyProtection="1">
      <alignment horizontal="right" vertical="center" shrinkToFit="1"/>
      <protection hidden="1"/>
    </xf>
    <xf numFmtId="0" fontId="9" fillId="0" borderId="22" xfId="1" applyFont="1" applyBorder="1" applyAlignment="1" applyProtection="1">
      <alignment horizontal="left" vertical="center" indent="1"/>
      <protection hidden="1"/>
    </xf>
    <xf numFmtId="0" fontId="8" fillId="0" borderId="10" xfId="1" applyFont="1" applyBorder="1" applyAlignment="1" applyProtection="1">
      <alignment horizontal="center" vertical="center" shrinkToFit="1"/>
      <protection locked="0" hidden="1"/>
    </xf>
    <xf numFmtId="0" fontId="8" fillId="0" borderId="8" xfId="1" applyFont="1" applyBorder="1" applyAlignment="1" applyProtection="1">
      <alignment horizontal="center" vertical="center" shrinkToFit="1"/>
      <protection locked="0" hidden="1"/>
    </xf>
    <xf numFmtId="0" fontId="8" fillId="0" borderId="11" xfId="1" applyFont="1" applyBorder="1" applyAlignment="1" applyProtection="1">
      <alignment horizontal="center" vertical="center" shrinkToFit="1"/>
      <protection locked="0" hidden="1"/>
    </xf>
    <xf numFmtId="4" fontId="10" fillId="0" borderId="13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4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5" xfId="1" applyNumberFormat="1" applyFont="1" applyBorder="1" applyAlignment="1" applyProtection="1">
      <alignment horizontal="right" vertical="center" shrinkToFit="1"/>
      <protection locked="0" hidden="1"/>
    </xf>
    <xf numFmtId="4" fontId="10" fillId="0" borderId="16" xfId="1" applyNumberFormat="1" applyFont="1" applyBorder="1" applyAlignment="1" applyProtection="1">
      <alignment horizontal="right" vertical="center" shrinkToFit="1"/>
      <protection locked="0" hidden="1"/>
    </xf>
    <xf numFmtId="4" fontId="8" fillId="3" borderId="12" xfId="1" applyNumberFormat="1" applyFont="1" applyFill="1" applyBorder="1" applyAlignment="1" applyProtection="1">
      <alignment horizontal="right" vertical="center" shrinkToFit="1"/>
      <protection hidden="1"/>
    </xf>
    <xf numFmtId="4" fontId="8" fillId="3" borderId="26" xfId="1" applyNumberFormat="1" applyFont="1" applyFill="1" applyBorder="1" applyAlignment="1" applyProtection="1">
      <alignment horizontal="right" vertical="center" shrinkToFit="1"/>
      <protection hidden="1"/>
    </xf>
    <xf numFmtId="0" fontId="9" fillId="6" borderId="13" xfId="1" applyFont="1" applyFill="1" applyBorder="1" applyAlignment="1">
      <alignment vertical="center"/>
    </xf>
    <xf numFmtId="0" fontId="9" fillId="6" borderId="14" xfId="1" applyFont="1" applyFill="1" applyBorder="1" applyAlignment="1">
      <alignment vertical="center"/>
    </xf>
    <xf numFmtId="0" fontId="9" fillId="6" borderId="15" xfId="1" applyFont="1" applyFill="1" applyBorder="1" applyAlignment="1">
      <alignment vertical="center"/>
    </xf>
    <xf numFmtId="0" fontId="9" fillId="6" borderId="16" xfId="1" applyFont="1" applyFill="1" applyBorder="1" applyAlignment="1">
      <alignment vertical="center"/>
    </xf>
    <xf numFmtId="167" fontId="9" fillId="6" borderId="12" xfId="1" applyNumberFormat="1" applyFont="1" applyFill="1" applyBorder="1" applyAlignment="1">
      <alignment vertical="center"/>
    </xf>
    <xf numFmtId="0" fontId="9" fillId="6" borderId="33" xfId="1" applyFont="1" applyFill="1" applyBorder="1" applyAlignment="1">
      <alignment vertical="center"/>
    </xf>
    <xf numFmtId="0" fontId="9" fillId="6" borderId="34" xfId="1" applyFont="1" applyFill="1" applyBorder="1" applyAlignment="1">
      <alignment vertical="center"/>
    </xf>
    <xf numFmtId="0" fontId="9" fillId="6" borderId="35" xfId="1" applyFont="1" applyFill="1" applyBorder="1" applyAlignment="1">
      <alignment vertical="center"/>
    </xf>
    <xf numFmtId="0" fontId="9" fillId="6" borderId="36" xfId="1" applyFont="1" applyFill="1" applyBorder="1" applyAlignment="1">
      <alignment vertical="center"/>
    </xf>
    <xf numFmtId="167" fontId="9" fillId="6" borderId="32" xfId="1" applyNumberFormat="1" applyFont="1" applyFill="1" applyBorder="1" applyAlignment="1">
      <alignment vertical="center"/>
    </xf>
    <xf numFmtId="0" fontId="9" fillId="6" borderId="26" xfId="1" applyFont="1" applyFill="1" applyBorder="1" applyAlignment="1" applyProtection="1">
      <alignment horizontal="left" vertical="center" indent="1"/>
      <protection hidden="1"/>
    </xf>
    <xf numFmtId="0" fontId="9" fillId="6" borderId="18" xfId="1" applyFont="1" applyFill="1" applyBorder="1" applyAlignment="1">
      <alignment vertical="center"/>
    </xf>
    <xf numFmtId="0" fontId="9" fillId="6" borderId="19" xfId="1" applyFont="1" applyFill="1" applyBorder="1" applyAlignment="1">
      <alignment vertical="center"/>
    </xf>
    <xf numFmtId="0" fontId="9" fillId="6" borderId="20" xfId="1" applyFont="1" applyFill="1" applyBorder="1" applyAlignment="1">
      <alignment vertical="center"/>
    </xf>
    <xf numFmtId="0" fontId="9" fillId="6" borderId="21" xfId="1" applyFont="1" applyFill="1" applyBorder="1" applyAlignment="1">
      <alignment vertical="center"/>
    </xf>
    <xf numFmtId="167" fontId="9" fillId="6" borderId="26" xfId="1" applyNumberFormat="1" applyFont="1" applyFill="1" applyBorder="1" applyAlignment="1">
      <alignment vertical="center"/>
    </xf>
    <xf numFmtId="167" fontId="8" fillId="4" borderId="40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1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2" xfId="1" applyNumberFormat="1" applyFont="1" applyFill="1" applyBorder="1" applyAlignment="1" applyProtection="1">
      <alignment horizontal="right" vertical="center" shrinkToFit="1"/>
      <protection hidden="1"/>
    </xf>
    <xf numFmtId="167" fontId="8" fillId="4" borderId="43" xfId="1" applyNumberFormat="1" applyFont="1" applyFill="1" applyBorder="1" applyAlignment="1" applyProtection="1">
      <alignment horizontal="right" vertical="center" shrinkToFit="1"/>
      <protection hidden="1"/>
    </xf>
    <xf numFmtId="168" fontId="5" fillId="0" borderId="0" xfId="1" applyNumberFormat="1" applyFont="1"/>
    <xf numFmtId="167" fontId="5" fillId="0" borderId="0" xfId="1" applyNumberFormat="1" applyFont="1"/>
    <xf numFmtId="4" fontId="5" fillId="0" borderId="0" xfId="1" applyNumberFormat="1" applyFont="1"/>
  </cellXfs>
  <cellStyles count="2">
    <cellStyle name="Normal" xfId="0" builtinId="0"/>
    <cellStyle name="Normal 19" xfId="1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56838042694703E-2"/>
          <c:y val="0.12548307562174557"/>
          <c:w val="0.85360778144461202"/>
          <c:h val="0.80330637329301768"/>
        </c:manualLayout>
      </c:layout>
      <c:barChart>
        <c:barDir val="col"/>
        <c:grouping val="stacked"/>
        <c:varyColors val="0"/>
        <c:ser>
          <c:idx val="12"/>
          <c:order val="0"/>
          <c:tx>
            <c:v>Sys. Losses</c:v>
          </c:tx>
          <c:spPr>
            <a:solidFill>
              <a:srgbClr val="DA9896"/>
            </a:solidFill>
            <a:ln>
              <a:solidFill>
                <a:srgbClr val="DA9896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(SELL)'!$B$24:$CW$24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0-7EA3-4DAB-B0B1-D69D08B88351}"/>
            </c:ext>
          </c:extLst>
        </c:ser>
        <c:ser>
          <c:idx val="5"/>
          <c:order val="1"/>
          <c:tx>
            <c:v>HV Load</c:v>
          </c:tx>
          <c:spPr>
            <a:solidFill>
              <a:srgbClr val="4F6228"/>
            </a:solidFill>
            <a:ln>
              <a:solidFill>
                <a:srgbClr val="4F6228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(SELL)'!$B$20:$CW$20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1-7EA3-4DAB-B0B1-D69D08B88351}"/>
            </c:ext>
          </c:extLst>
        </c:ser>
        <c:ser>
          <c:idx val="9"/>
          <c:order val="2"/>
          <c:tx>
            <c:v>MV Load</c:v>
          </c:tx>
          <c:spPr>
            <a:solidFill>
              <a:srgbClr val="77933C"/>
            </a:solidFill>
            <a:ln>
              <a:solidFill>
                <a:srgbClr val="77933C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(SELL)'!$B$21:$CW$21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2-7EA3-4DAB-B0B1-D69D08B88351}"/>
            </c:ext>
          </c:extLst>
        </c:ser>
        <c:ser>
          <c:idx val="10"/>
          <c:order val="3"/>
          <c:tx>
            <c:v>LV Load</c:v>
          </c:tx>
          <c:spPr>
            <a:solidFill>
              <a:srgbClr val="C3D69B"/>
            </a:solidFill>
            <a:ln>
              <a:solidFill>
                <a:srgbClr val="C3D69B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(SELL)'!$B$22:$CW$22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3-7EA3-4DAB-B0B1-D69D08B88351}"/>
            </c:ext>
          </c:extLst>
        </c:ser>
        <c:ser>
          <c:idx val="13"/>
          <c:order val="4"/>
          <c:tx>
            <c:v>CRETE Load</c:v>
          </c:tx>
          <c:spPr>
            <a:solidFill>
              <a:srgbClr val="D7E4BD"/>
            </a:solidFill>
            <a:ln>
              <a:solidFill>
                <a:srgbClr val="D7E4BD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(SELL)'!$B$25:$CW$25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4-7EA3-4DAB-B0B1-D69D08B88351}"/>
            </c:ext>
          </c:extLst>
        </c:ser>
        <c:ser>
          <c:idx val="14"/>
          <c:order val="5"/>
          <c:tx>
            <c:v>D/R Load</c:v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(SELL)'!$B$26:$CW$26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5-7EA3-4DAB-B0B1-D69D08B88351}"/>
            </c:ext>
          </c:extLst>
        </c:ser>
        <c:ser>
          <c:idx val="11"/>
          <c:order val="6"/>
          <c:tx>
            <c:v>PUMP</c:v>
          </c:tx>
          <c:spPr>
            <a:solidFill>
              <a:srgbClr val="376092"/>
            </a:solidFill>
            <a:ln>
              <a:solidFill>
                <a:srgbClr val="376092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(SELL)'!$B$23:$CW$23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6-7EA3-4DAB-B0B1-D69D08B88351}"/>
            </c:ext>
          </c:extLst>
        </c:ser>
        <c:ser>
          <c:idx val="0"/>
          <c:order val="7"/>
          <c:tx>
            <c:v>Lignite</c:v>
          </c:tx>
          <c:spPr>
            <a:solidFill>
              <a:srgbClr val="984807"/>
            </a:solidFill>
            <a:ln>
              <a:solidFill>
                <a:srgbClr val="984807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(SELL)'!$B$11:$CW$11</c:f>
              <c:numCache>
                <c:formatCode>General</c:formatCode>
                <c:ptCount val="96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377</c:v>
                </c:pt>
                <c:pt idx="5">
                  <c:v>377</c:v>
                </c:pt>
                <c:pt idx="6">
                  <c:v>377</c:v>
                </c:pt>
                <c:pt idx="7">
                  <c:v>377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380</c:v>
                </c:pt>
                <c:pt idx="13">
                  <c:v>380</c:v>
                </c:pt>
                <c:pt idx="14">
                  <c:v>380</c:v>
                </c:pt>
                <c:pt idx="15">
                  <c:v>380</c:v>
                </c:pt>
                <c:pt idx="16">
                  <c:v>382</c:v>
                </c:pt>
                <c:pt idx="17">
                  <c:v>382</c:v>
                </c:pt>
                <c:pt idx="18">
                  <c:v>382</c:v>
                </c:pt>
                <c:pt idx="19">
                  <c:v>382</c:v>
                </c:pt>
                <c:pt idx="20">
                  <c:v>387</c:v>
                </c:pt>
                <c:pt idx="21">
                  <c:v>387</c:v>
                </c:pt>
                <c:pt idx="22">
                  <c:v>387</c:v>
                </c:pt>
                <c:pt idx="23">
                  <c:v>387</c:v>
                </c:pt>
                <c:pt idx="24">
                  <c:v>405</c:v>
                </c:pt>
                <c:pt idx="25">
                  <c:v>405</c:v>
                </c:pt>
                <c:pt idx="26">
                  <c:v>405</c:v>
                </c:pt>
                <c:pt idx="27">
                  <c:v>405</c:v>
                </c:pt>
                <c:pt idx="28">
                  <c:v>412</c:v>
                </c:pt>
                <c:pt idx="29">
                  <c:v>412</c:v>
                </c:pt>
                <c:pt idx="30">
                  <c:v>412</c:v>
                </c:pt>
                <c:pt idx="31">
                  <c:v>412</c:v>
                </c:pt>
                <c:pt idx="32">
                  <c:v>403</c:v>
                </c:pt>
                <c:pt idx="33">
                  <c:v>403</c:v>
                </c:pt>
                <c:pt idx="34">
                  <c:v>403</c:v>
                </c:pt>
                <c:pt idx="35">
                  <c:v>403</c:v>
                </c:pt>
                <c:pt idx="36">
                  <c:v>404</c:v>
                </c:pt>
                <c:pt idx="37">
                  <c:v>404</c:v>
                </c:pt>
                <c:pt idx="38">
                  <c:v>404</c:v>
                </c:pt>
                <c:pt idx="39">
                  <c:v>404</c:v>
                </c:pt>
                <c:pt idx="40">
                  <c:v>406</c:v>
                </c:pt>
                <c:pt idx="41">
                  <c:v>406</c:v>
                </c:pt>
                <c:pt idx="42">
                  <c:v>406</c:v>
                </c:pt>
                <c:pt idx="43">
                  <c:v>406</c:v>
                </c:pt>
                <c:pt idx="44">
                  <c:v>394</c:v>
                </c:pt>
                <c:pt idx="45">
                  <c:v>394</c:v>
                </c:pt>
                <c:pt idx="46">
                  <c:v>394</c:v>
                </c:pt>
                <c:pt idx="47">
                  <c:v>394</c:v>
                </c:pt>
                <c:pt idx="48">
                  <c:v>395</c:v>
                </c:pt>
                <c:pt idx="49">
                  <c:v>395</c:v>
                </c:pt>
                <c:pt idx="50">
                  <c:v>395</c:v>
                </c:pt>
                <c:pt idx="51">
                  <c:v>395</c:v>
                </c:pt>
                <c:pt idx="52">
                  <c:v>391</c:v>
                </c:pt>
                <c:pt idx="53">
                  <c:v>391</c:v>
                </c:pt>
                <c:pt idx="54">
                  <c:v>391</c:v>
                </c:pt>
                <c:pt idx="55">
                  <c:v>391</c:v>
                </c:pt>
                <c:pt idx="56">
                  <c:v>398</c:v>
                </c:pt>
                <c:pt idx="57">
                  <c:v>398</c:v>
                </c:pt>
                <c:pt idx="58">
                  <c:v>398</c:v>
                </c:pt>
                <c:pt idx="59">
                  <c:v>398</c:v>
                </c:pt>
                <c:pt idx="60">
                  <c:v>435</c:v>
                </c:pt>
                <c:pt idx="61">
                  <c:v>435</c:v>
                </c:pt>
                <c:pt idx="62">
                  <c:v>435</c:v>
                </c:pt>
                <c:pt idx="63">
                  <c:v>435</c:v>
                </c:pt>
                <c:pt idx="64">
                  <c:v>414</c:v>
                </c:pt>
                <c:pt idx="65">
                  <c:v>414</c:v>
                </c:pt>
                <c:pt idx="66">
                  <c:v>414</c:v>
                </c:pt>
                <c:pt idx="67">
                  <c:v>414</c:v>
                </c:pt>
                <c:pt idx="68">
                  <c:v>416</c:v>
                </c:pt>
                <c:pt idx="69">
                  <c:v>416</c:v>
                </c:pt>
                <c:pt idx="70">
                  <c:v>416</c:v>
                </c:pt>
                <c:pt idx="71">
                  <c:v>416</c:v>
                </c:pt>
                <c:pt idx="72">
                  <c:v>395</c:v>
                </c:pt>
                <c:pt idx="73">
                  <c:v>395</c:v>
                </c:pt>
                <c:pt idx="74">
                  <c:v>395</c:v>
                </c:pt>
                <c:pt idx="75">
                  <c:v>395</c:v>
                </c:pt>
                <c:pt idx="76">
                  <c:v>407</c:v>
                </c:pt>
                <c:pt idx="77">
                  <c:v>407</c:v>
                </c:pt>
                <c:pt idx="78">
                  <c:v>407</c:v>
                </c:pt>
                <c:pt idx="79">
                  <c:v>407</c:v>
                </c:pt>
                <c:pt idx="80">
                  <c:v>395</c:v>
                </c:pt>
                <c:pt idx="81">
                  <c:v>395</c:v>
                </c:pt>
                <c:pt idx="82">
                  <c:v>395</c:v>
                </c:pt>
                <c:pt idx="83">
                  <c:v>395</c:v>
                </c:pt>
                <c:pt idx="84">
                  <c:v>387</c:v>
                </c:pt>
                <c:pt idx="85">
                  <c:v>387</c:v>
                </c:pt>
                <c:pt idx="86">
                  <c:v>387</c:v>
                </c:pt>
                <c:pt idx="87">
                  <c:v>387</c:v>
                </c:pt>
                <c:pt idx="88">
                  <c:v>384</c:v>
                </c:pt>
                <c:pt idx="89">
                  <c:v>384</c:v>
                </c:pt>
                <c:pt idx="90">
                  <c:v>384</c:v>
                </c:pt>
                <c:pt idx="91">
                  <c:v>384</c:v>
                </c:pt>
                <c:pt idx="92">
                  <c:v>370</c:v>
                </c:pt>
                <c:pt idx="93">
                  <c:v>370</c:v>
                </c:pt>
                <c:pt idx="94">
                  <c:v>370</c:v>
                </c:pt>
                <c:pt idx="95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A3-4DAB-B0B1-D69D08B88351}"/>
            </c:ext>
          </c:extLst>
        </c:ser>
        <c:ser>
          <c:idx val="8"/>
          <c:order val="8"/>
          <c:tx>
            <c:v>CRETE Conventional</c:v>
          </c:tx>
          <c:spPr>
            <a:solidFill>
              <a:srgbClr val="E46C0A"/>
            </a:solidFill>
            <a:ln>
              <a:solidFill>
                <a:srgbClr val="E46C0A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(SELL)'!$B$12:$CW$12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8-7EA3-4DAB-B0B1-D69D08B88351}"/>
            </c:ext>
          </c:extLst>
        </c:ser>
        <c:ser>
          <c:idx val="1"/>
          <c:order val="9"/>
          <c:tx>
            <c:v>GAS</c:v>
          </c:tx>
          <c:spPr>
            <a:solidFill>
              <a:srgbClr val="FAC090"/>
            </a:solidFill>
            <a:ln>
              <a:solidFill>
                <a:srgbClr val="FAC09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(SELL)'!$B$13:$CW$13</c:f>
              <c:numCache>
                <c:formatCode>General</c:formatCode>
                <c:ptCount val="96"/>
                <c:pt idx="0">
                  <c:v>3868.6889999999999</c:v>
                </c:pt>
                <c:pt idx="1">
                  <c:v>3761.5529999999999</c:v>
                </c:pt>
                <c:pt idx="2">
                  <c:v>3411.69</c:v>
                </c:pt>
                <c:pt idx="3">
                  <c:v>3075.84</c:v>
                </c:pt>
                <c:pt idx="4">
                  <c:v>3401.0419999999995</c:v>
                </c:pt>
                <c:pt idx="5">
                  <c:v>3112.5360000000001</c:v>
                </c:pt>
                <c:pt idx="6">
                  <c:v>2984.942</c:v>
                </c:pt>
                <c:pt idx="7">
                  <c:v>2928.5860000000002</c:v>
                </c:pt>
                <c:pt idx="8">
                  <c:v>2895.5040000000004</c:v>
                </c:pt>
                <c:pt idx="9">
                  <c:v>2645.6880000000001</c:v>
                </c:pt>
                <c:pt idx="10">
                  <c:v>2508.8610000000003</c:v>
                </c:pt>
                <c:pt idx="11">
                  <c:v>2201.6770000000001</c:v>
                </c:pt>
                <c:pt idx="12">
                  <c:v>2428.8510000000001</c:v>
                </c:pt>
                <c:pt idx="13">
                  <c:v>2195.3620000000001</c:v>
                </c:pt>
                <c:pt idx="14">
                  <c:v>2084.16</c:v>
                </c:pt>
                <c:pt idx="15">
                  <c:v>2151.3020000000001</c:v>
                </c:pt>
                <c:pt idx="16">
                  <c:v>1831.9</c:v>
                </c:pt>
                <c:pt idx="17">
                  <c:v>1835.8940000000002</c:v>
                </c:pt>
                <c:pt idx="18">
                  <c:v>1921.2070000000001</c:v>
                </c:pt>
                <c:pt idx="19">
                  <c:v>1921.212</c:v>
                </c:pt>
                <c:pt idx="20">
                  <c:v>1831.9</c:v>
                </c:pt>
                <c:pt idx="21">
                  <c:v>1850.15</c:v>
                </c:pt>
                <c:pt idx="22">
                  <c:v>1995.1320000000001</c:v>
                </c:pt>
                <c:pt idx="23">
                  <c:v>2179.0210000000002</c:v>
                </c:pt>
                <c:pt idx="24">
                  <c:v>1761.5830000000001</c:v>
                </c:pt>
                <c:pt idx="25">
                  <c:v>1935.8650000000002</c:v>
                </c:pt>
                <c:pt idx="26">
                  <c:v>2068.3150000000001</c:v>
                </c:pt>
                <c:pt idx="27">
                  <c:v>2202.3040000000001</c:v>
                </c:pt>
                <c:pt idx="28">
                  <c:v>2102.9720000000002</c:v>
                </c:pt>
                <c:pt idx="29">
                  <c:v>1740.7250000000001</c:v>
                </c:pt>
                <c:pt idx="30">
                  <c:v>1582.9</c:v>
                </c:pt>
                <c:pt idx="31">
                  <c:v>1582.9</c:v>
                </c:pt>
                <c:pt idx="32">
                  <c:v>1448.9</c:v>
                </c:pt>
                <c:pt idx="33">
                  <c:v>1448.9</c:v>
                </c:pt>
                <c:pt idx="34">
                  <c:v>1448.9</c:v>
                </c:pt>
                <c:pt idx="35">
                  <c:v>1379.9</c:v>
                </c:pt>
                <c:pt idx="36">
                  <c:v>1024.9000000000001</c:v>
                </c:pt>
                <c:pt idx="37">
                  <c:v>900.73299999999995</c:v>
                </c:pt>
                <c:pt idx="38">
                  <c:v>776.56700000000001</c:v>
                </c:pt>
                <c:pt idx="39">
                  <c:v>719.9</c:v>
                </c:pt>
                <c:pt idx="40">
                  <c:v>719.9</c:v>
                </c:pt>
                <c:pt idx="41">
                  <c:v>719.9</c:v>
                </c:pt>
                <c:pt idx="42">
                  <c:v>719.9</c:v>
                </c:pt>
                <c:pt idx="43">
                  <c:v>719.9</c:v>
                </c:pt>
                <c:pt idx="44">
                  <c:v>719.9</c:v>
                </c:pt>
                <c:pt idx="45">
                  <c:v>719.9</c:v>
                </c:pt>
                <c:pt idx="46">
                  <c:v>719.9</c:v>
                </c:pt>
                <c:pt idx="47">
                  <c:v>719.9</c:v>
                </c:pt>
                <c:pt idx="48">
                  <c:v>719.9</c:v>
                </c:pt>
                <c:pt idx="49">
                  <c:v>719.9</c:v>
                </c:pt>
                <c:pt idx="50">
                  <c:v>719.9</c:v>
                </c:pt>
                <c:pt idx="51">
                  <c:v>719.9</c:v>
                </c:pt>
                <c:pt idx="52">
                  <c:v>804.9</c:v>
                </c:pt>
                <c:pt idx="53">
                  <c:v>879.9</c:v>
                </c:pt>
                <c:pt idx="54">
                  <c:v>1149.9000000000001</c:v>
                </c:pt>
                <c:pt idx="55">
                  <c:v>1234.9000000000001</c:v>
                </c:pt>
                <c:pt idx="56">
                  <c:v>1474.9</c:v>
                </c:pt>
                <c:pt idx="57">
                  <c:v>1618.9</c:v>
                </c:pt>
                <c:pt idx="58">
                  <c:v>1693.9</c:v>
                </c:pt>
                <c:pt idx="59">
                  <c:v>2020.7900000000002</c:v>
                </c:pt>
                <c:pt idx="60">
                  <c:v>2242.8119999999999</c:v>
                </c:pt>
                <c:pt idx="61">
                  <c:v>2705.8310000000001</c:v>
                </c:pt>
                <c:pt idx="62">
                  <c:v>3361.4540000000002</c:v>
                </c:pt>
                <c:pt idx="63">
                  <c:v>3879.6089999999999</c:v>
                </c:pt>
                <c:pt idx="64">
                  <c:v>3692.4409999999998</c:v>
                </c:pt>
                <c:pt idx="65">
                  <c:v>3705.904</c:v>
                </c:pt>
                <c:pt idx="66">
                  <c:v>3740.502</c:v>
                </c:pt>
                <c:pt idx="67">
                  <c:v>3615.2150000000001</c:v>
                </c:pt>
                <c:pt idx="68">
                  <c:v>3755.5540000000001</c:v>
                </c:pt>
                <c:pt idx="69">
                  <c:v>3744.3829999999998</c:v>
                </c:pt>
                <c:pt idx="70">
                  <c:v>3699.652</c:v>
                </c:pt>
                <c:pt idx="71">
                  <c:v>3732.2750000000001</c:v>
                </c:pt>
                <c:pt idx="72">
                  <c:v>3781.6980000000003</c:v>
                </c:pt>
                <c:pt idx="73">
                  <c:v>3791.1190000000001</c:v>
                </c:pt>
                <c:pt idx="74">
                  <c:v>3716.9549999999999</c:v>
                </c:pt>
                <c:pt idx="75">
                  <c:v>3685.989</c:v>
                </c:pt>
                <c:pt idx="76">
                  <c:v>3667.4539999999997</c:v>
                </c:pt>
                <c:pt idx="77">
                  <c:v>3658.9090000000001</c:v>
                </c:pt>
                <c:pt idx="78">
                  <c:v>3816.2579999999998</c:v>
                </c:pt>
                <c:pt idx="79">
                  <c:v>3925.4790000000003</c:v>
                </c:pt>
                <c:pt idx="80">
                  <c:v>3807.9199999999996</c:v>
                </c:pt>
                <c:pt idx="81">
                  <c:v>3771.7080000000001</c:v>
                </c:pt>
                <c:pt idx="82">
                  <c:v>3728.239</c:v>
                </c:pt>
                <c:pt idx="83">
                  <c:v>3687.453</c:v>
                </c:pt>
                <c:pt idx="84">
                  <c:v>3808.8509999999997</c:v>
                </c:pt>
                <c:pt idx="85">
                  <c:v>3771.2530000000002</c:v>
                </c:pt>
                <c:pt idx="86">
                  <c:v>3712.79</c:v>
                </c:pt>
                <c:pt idx="87">
                  <c:v>3650.9079999999999</c:v>
                </c:pt>
                <c:pt idx="88">
                  <c:v>3727.913</c:v>
                </c:pt>
                <c:pt idx="89">
                  <c:v>3813.3710000000001</c:v>
                </c:pt>
                <c:pt idx="90">
                  <c:v>3719.1379999999999</c:v>
                </c:pt>
                <c:pt idx="91">
                  <c:v>3637.018</c:v>
                </c:pt>
                <c:pt idx="92">
                  <c:v>3655.8090000000002</c:v>
                </c:pt>
                <c:pt idx="93">
                  <c:v>3479.7540000000004</c:v>
                </c:pt>
                <c:pt idx="94">
                  <c:v>3435.7779999999998</c:v>
                </c:pt>
                <c:pt idx="95">
                  <c:v>3278.2559999999999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A3-4DAB-B0B1-D69D08B88351}"/>
            </c:ext>
          </c:extLst>
        </c:ser>
        <c:ser>
          <c:idx val="4"/>
          <c:order val="10"/>
          <c:tx>
            <c:v>Imports</c:v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(SELL)'!$B$41:$CW$41</c:f>
              <c:numCache>
                <c:formatCode>0.000</c:formatCode>
                <c:ptCount val="96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94</c:v>
                </c:pt>
                <c:pt idx="9">
                  <c:v>94</c:v>
                </c:pt>
                <c:pt idx="10">
                  <c:v>171.4</c:v>
                </c:pt>
                <c:pt idx="11">
                  <c:v>478.8</c:v>
                </c:pt>
                <c:pt idx="12">
                  <c:v>128.19999999999999</c:v>
                </c:pt>
                <c:pt idx="13">
                  <c:v>380.2</c:v>
                </c:pt>
                <c:pt idx="14">
                  <c:v>449.7</c:v>
                </c:pt>
                <c:pt idx="15">
                  <c:v>368.6</c:v>
                </c:pt>
                <c:pt idx="16">
                  <c:v>628.5</c:v>
                </c:pt>
                <c:pt idx="17">
                  <c:v>630.29999999999995</c:v>
                </c:pt>
                <c:pt idx="18">
                  <c:v>557.70000000000005</c:v>
                </c:pt>
                <c:pt idx="19">
                  <c:v>581.9</c:v>
                </c:pt>
                <c:pt idx="20">
                  <c:v>676.3</c:v>
                </c:pt>
                <c:pt idx="21">
                  <c:v>702.3</c:v>
                </c:pt>
                <c:pt idx="22">
                  <c:v>602.79999999999995</c:v>
                </c:pt>
                <c:pt idx="23">
                  <c:v>496.5</c:v>
                </c:pt>
                <c:pt idx="24">
                  <c:v>1020.3</c:v>
                </c:pt>
                <c:pt idx="25">
                  <c:v>937</c:v>
                </c:pt>
                <c:pt idx="26">
                  <c:v>872.7</c:v>
                </c:pt>
                <c:pt idx="27">
                  <c:v>780.5</c:v>
                </c:pt>
                <c:pt idx="28">
                  <c:v>731.4</c:v>
                </c:pt>
                <c:pt idx="29">
                  <c:v>907.5</c:v>
                </c:pt>
                <c:pt idx="30">
                  <c:v>785.4</c:v>
                </c:pt>
                <c:pt idx="31">
                  <c:v>508.1</c:v>
                </c:pt>
                <c:pt idx="32">
                  <c:v>365.7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258.60000000000002</c:v>
                </c:pt>
                <c:pt idx="56">
                  <c:v>123.5</c:v>
                </c:pt>
                <c:pt idx="57">
                  <c:v>447.1</c:v>
                </c:pt>
                <c:pt idx="58">
                  <c:v>893.6</c:v>
                </c:pt>
                <c:pt idx="59">
                  <c:v>1091.5999999999999</c:v>
                </c:pt>
                <c:pt idx="60">
                  <c:v>1488</c:v>
                </c:pt>
                <c:pt idx="61">
                  <c:v>1488</c:v>
                </c:pt>
                <c:pt idx="62">
                  <c:v>1404.5</c:v>
                </c:pt>
                <c:pt idx="63">
                  <c:v>1288.2</c:v>
                </c:pt>
                <c:pt idx="64">
                  <c:v>1535</c:v>
                </c:pt>
                <c:pt idx="65">
                  <c:v>1701.9</c:v>
                </c:pt>
                <c:pt idx="66">
                  <c:v>1664</c:v>
                </c:pt>
                <c:pt idx="67">
                  <c:v>1744.2</c:v>
                </c:pt>
                <c:pt idx="68">
                  <c:v>1844.2</c:v>
                </c:pt>
                <c:pt idx="69">
                  <c:v>1835.4</c:v>
                </c:pt>
                <c:pt idx="70">
                  <c:v>1844.2</c:v>
                </c:pt>
                <c:pt idx="71">
                  <c:v>1844.2</c:v>
                </c:pt>
                <c:pt idx="72">
                  <c:v>1741.2</c:v>
                </c:pt>
                <c:pt idx="73">
                  <c:v>1741.2</c:v>
                </c:pt>
                <c:pt idx="74">
                  <c:v>1716.9</c:v>
                </c:pt>
                <c:pt idx="75">
                  <c:v>1741.2</c:v>
                </c:pt>
                <c:pt idx="76">
                  <c:v>1891.7</c:v>
                </c:pt>
                <c:pt idx="77">
                  <c:v>1874.6000000000001</c:v>
                </c:pt>
                <c:pt idx="78">
                  <c:v>1891.7</c:v>
                </c:pt>
                <c:pt idx="79">
                  <c:v>1891.7</c:v>
                </c:pt>
                <c:pt idx="80">
                  <c:v>2011</c:v>
                </c:pt>
                <c:pt idx="81">
                  <c:v>2011</c:v>
                </c:pt>
                <c:pt idx="82">
                  <c:v>2011</c:v>
                </c:pt>
                <c:pt idx="83">
                  <c:v>1997.3</c:v>
                </c:pt>
                <c:pt idx="84">
                  <c:v>1745.7</c:v>
                </c:pt>
                <c:pt idx="85">
                  <c:v>1745.7</c:v>
                </c:pt>
                <c:pt idx="86">
                  <c:v>1745.7</c:v>
                </c:pt>
                <c:pt idx="87">
                  <c:v>1745.7</c:v>
                </c:pt>
                <c:pt idx="88">
                  <c:v>1537</c:v>
                </c:pt>
                <c:pt idx="89">
                  <c:v>1262.5999999999999</c:v>
                </c:pt>
                <c:pt idx="90">
                  <c:v>1302.4000000000001</c:v>
                </c:pt>
                <c:pt idx="91">
                  <c:v>1239.0999999999999</c:v>
                </c:pt>
                <c:pt idx="92">
                  <c:v>1495</c:v>
                </c:pt>
                <c:pt idx="93">
                  <c:v>1495</c:v>
                </c:pt>
                <c:pt idx="94">
                  <c:v>1495</c:v>
                </c:pt>
                <c:pt idx="95">
                  <c:v>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A3-4DAB-B0B1-D69D08B88351}"/>
            </c:ext>
          </c:extLst>
        </c:ser>
        <c:ser>
          <c:idx val="3"/>
          <c:order val="11"/>
          <c:tx>
            <c:v>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(SELL)'!$B$15:$CW$15</c:f>
              <c:numCache>
                <c:formatCode>General</c:formatCode>
                <c:ptCount val="96"/>
                <c:pt idx="0">
                  <c:v>2531.8490000000002</c:v>
                </c:pt>
                <c:pt idx="1">
                  <c:v>2572.5030000000002</c:v>
                </c:pt>
                <c:pt idx="2">
                  <c:v>2610.04</c:v>
                </c:pt>
                <c:pt idx="3">
                  <c:v>2637.163</c:v>
                </c:pt>
                <c:pt idx="4">
                  <c:v>2692.828</c:v>
                </c:pt>
                <c:pt idx="5">
                  <c:v>2726.7550000000001</c:v>
                </c:pt>
                <c:pt idx="6">
                  <c:v>2746.7350000000001</c:v>
                </c:pt>
                <c:pt idx="7">
                  <c:v>2780.6179999999999</c:v>
                </c:pt>
                <c:pt idx="8">
                  <c:v>2797.076</c:v>
                </c:pt>
                <c:pt idx="9">
                  <c:v>2812.7240000000002</c:v>
                </c:pt>
                <c:pt idx="10">
                  <c:v>2833.5010000000002</c:v>
                </c:pt>
                <c:pt idx="11">
                  <c:v>2836.2080000000001</c:v>
                </c:pt>
                <c:pt idx="12">
                  <c:v>2860.13</c:v>
                </c:pt>
                <c:pt idx="13">
                  <c:v>2851.373</c:v>
                </c:pt>
                <c:pt idx="14">
                  <c:v>2871.5140000000001</c:v>
                </c:pt>
                <c:pt idx="15">
                  <c:v>2870.069</c:v>
                </c:pt>
                <c:pt idx="16">
                  <c:v>2864.7080000000001</c:v>
                </c:pt>
                <c:pt idx="17">
                  <c:v>2853.748</c:v>
                </c:pt>
                <c:pt idx="18">
                  <c:v>2853.96</c:v>
                </c:pt>
                <c:pt idx="19">
                  <c:v>2852.6130000000003</c:v>
                </c:pt>
                <c:pt idx="20">
                  <c:v>2845.5870000000004</c:v>
                </c:pt>
                <c:pt idx="21">
                  <c:v>2833.011</c:v>
                </c:pt>
                <c:pt idx="22">
                  <c:v>2833.9519999999998</c:v>
                </c:pt>
                <c:pt idx="23">
                  <c:v>2812.3119999999999</c:v>
                </c:pt>
                <c:pt idx="24">
                  <c:v>2782.3150000000001</c:v>
                </c:pt>
                <c:pt idx="25">
                  <c:v>2749.3490000000002</c:v>
                </c:pt>
                <c:pt idx="26">
                  <c:v>2754.3870000000002</c:v>
                </c:pt>
                <c:pt idx="27">
                  <c:v>2782.7620000000006</c:v>
                </c:pt>
                <c:pt idx="28">
                  <c:v>2969.0910000000003</c:v>
                </c:pt>
                <c:pt idx="29">
                  <c:v>3278.3579999999997</c:v>
                </c:pt>
                <c:pt idx="30">
                  <c:v>3689.4549999999999</c:v>
                </c:pt>
                <c:pt idx="31">
                  <c:v>4171.5559999999996</c:v>
                </c:pt>
                <c:pt idx="32">
                  <c:v>4715.4820000000009</c:v>
                </c:pt>
                <c:pt idx="33">
                  <c:v>5235.5770000000002</c:v>
                </c:pt>
                <c:pt idx="34">
                  <c:v>5745.7410000000009</c:v>
                </c:pt>
                <c:pt idx="35">
                  <c:v>6199.2979999999998</c:v>
                </c:pt>
                <c:pt idx="36">
                  <c:v>6588.44</c:v>
                </c:pt>
                <c:pt idx="37">
                  <c:v>6915.6850000000004</c:v>
                </c:pt>
                <c:pt idx="38">
                  <c:v>7148.8870000000006</c:v>
                </c:pt>
                <c:pt idx="39">
                  <c:v>7427.7580000000007</c:v>
                </c:pt>
                <c:pt idx="40">
                  <c:v>7610.9959999999992</c:v>
                </c:pt>
                <c:pt idx="41">
                  <c:v>7693.9170000000004</c:v>
                </c:pt>
                <c:pt idx="42">
                  <c:v>7791.6200000000008</c:v>
                </c:pt>
                <c:pt idx="43">
                  <c:v>7800.4570000000003</c:v>
                </c:pt>
                <c:pt idx="44">
                  <c:v>7803.1590000000006</c:v>
                </c:pt>
                <c:pt idx="45">
                  <c:v>7752.5460000000003</c:v>
                </c:pt>
                <c:pt idx="46">
                  <c:v>7675.2749999999996</c:v>
                </c:pt>
                <c:pt idx="47">
                  <c:v>7596.335</c:v>
                </c:pt>
                <c:pt idx="48">
                  <c:v>7510.2160000000003</c:v>
                </c:pt>
                <c:pt idx="49">
                  <c:v>7353.4029999999993</c:v>
                </c:pt>
                <c:pt idx="50">
                  <c:v>7192.3620000000001</c:v>
                </c:pt>
                <c:pt idx="51">
                  <c:v>6991.808</c:v>
                </c:pt>
                <c:pt idx="52">
                  <c:v>6708.7789999999995</c:v>
                </c:pt>
                <c:pt idx="53">
                  <c:v>6432.9690000000001</c:v>
                </c:pt>
                <c:pt idx="54">
                  <c:v>6088.027</c:v>
                </c:pt>
                <c:pt idx="55">
                  <c:v>5691.9430000000002</c:v>
                </c:pt>
                <c:pt idx="56">
                  <c:v>5293.5649999999996</c:v>
                </c:pt>
                <c:pt idx="57">
                  <c:v>4781.3109999999997</c:v>
                </c:pt>
                <c:pt idx="58">
                  <c:v>4227.9950000000008</c:v>
                </c:pt>
                <c:pt idx="59">
                  <c:v>3630.0329999999999</c:v>
                </c:pt>
                <c:pt idx="60">
                  <c:v>3032.91</c:v>
                </c:pt>
                <c:pt idx="61">
                  <c:v>2480.1709999999998</c:v>
                </c:pt>
                <c:pt idx="62">
                  <c:v>1967.8709999999999</c:v>
                </c:pt>
                <c:pt idx="63">
                  <c:v>1528.1420000000003</c:v>
                </c:pt>
                <c:pt idx="64">
                  <c:v>1186.289</c:v>
                </c:pt>
                <c:pt idx="65">
                  <c:v>1072.4749999999999</c:v>
                </c:pt>
                <c:pt idx="66">
                  <c:v>1016.789</c:v>
                </c:pt>
                <c:pt idx="67">
                  <c:v>997.45299999999997</c:v>
                </c:pt>
                <c:pt idx="68">
                  <c:v>963.005</c:v>
                </c:pt>
                <c:pt idx="69">
                  <c:v>956.18200000000002</c:v>
                </c:pt>
                <c:pt idx="70">
                  <c:v>953.07500000000005</c:v>
                </c:pt>
                <c:pt idx="71">
                  <c:v>951.21799999999996</c:v>
                </c:pt>
                <c:pt idx="72">
                  <c:v>957.34199999999998</c:v>
                </c:pt>
                <c:pt idx="73">
                  <c:v>953.39300000000003</c:v>
                </c:pt>
                <c:pt idx="74">
                  <c:v>955.45400000000006</c:v>
                </c:pt>
                <c:pt idx="75">
                  <c:v>960.779</c:v>
                </c:pt>
                <c:pt idx="76">
                  <c:v>949.09399999999994</c:v>
                </c:pt>
                <c:pt idx="77">
                  <c:v>963.10599999999999</c:v>
                </c:pt>
                <c:pt idx="78">
                  <c:v>973.90299999999991</c:v>
                </c:pt>
                <c:pt idx="79">
                  <c:v>994.10299999999995</c:v>
                </c:pt>
                <c:pt idx="80">
                  <c:v>1001.1560000000001</c:v>
                </c:pt>
                <c:pt idx="81">
                  <c:v>1021.405</c:v>
                </c:pt>
                <c:pt idx="82">
                  <c:v>1030.8599999999999</c:v>
                </c:pt>
                <c:pt idx="83">
                  <c:v>1045.2830000000001</c:v>
                </c:pt>
                <c:pt idx="84">
                  <c:v>1055.1559999999999</c:v>
                </c:pt>
                <c:pt idx="85">
                  <c:v>1080.1600000000001</c:v>
                </c:pt>
                <c:pt idx="86">
                  <c:v>1105.886</c:v>
                </c:pt>
                <c:pt idx="87">
                  <c:v>1121.6690000000001</c:v>
                </c:pt>
                <c:pt idx="88">
                  <c:v>1136.193</c:v>
                </c:pt>
                <c:pt idx="89">
                  <c:v>1154.808</c:v>
                </c:pt>
                <c:pt idx="90">
                  <c:v>1176.3530000000001</c:v>
                </c:pt>
                <c:pt idx="91">
                  <c:v>1197.9549999999999</c:v>
                </c:pt>
                <c:pt idx="92">
                  <c:v>1217.6469999999999</c:v>
                </c:pt>
                <c:pt idx="93">
                  <c:v>1244.5739999999998</c:v>
                </c:pt>
                <c:pt idx="94">
                  <c:v>1274.078</c:v>
                </c:pt>
                <c:pt idx="95">
                  <c:v>1305.0240000000001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A3-4DAB-B0B1-D69D08B88351}"/>
            </c:ext>
          </c:extLst>
        </c:ser>
        <c:ser>
          <c:idx val="7"/>
          <c:order val="12"/>
          <c:tx>
            <c:v>CRETE 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(SELL)'!$B$16:$CW$16</c:f>
              <c:numCache>
                <c:formatCode>General</c:formatCode>
                <c:ptCount val="96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107</c:v>
                </c:pt>
                <c:pt idx="21">
                  <c:v>107</c:v>
                </c:pt>
                <c:pt idx="22">
                  <c:v>107</c:v>
                </c:pt>
                <c:pt idx="23">
                  <c:v>107</c:v>
                </c:pt>
                <c:pt idx="24">
                  <c:v>118</c:v>
                </c:pt>
                <c:pt idx="25">
                  <c:v>118</c:v>
                </c:pt>
                <c:pt idx="26">
                  <c:v>118</c:v>
                </c:pt>
                <c:pt idx="27">
                  <c:v>118</c:v>
                </c:pt>
                <c:pt idx="28">
                  <c:v>131</c:v>
                </c:pt>
                <c:pt idx="29">
                  <c:v>131</c:v>
                </c:pt>
                <c:pt idx="30">
                  <c:v>131</c:v>
                </c:pt>
                <c:pt idx="31">
                  <c:v>131</c:v>
                </c:pt>
                <c:pt idx="32">
                  <c:v>148</c:v>
                </c:pt>
                <c:pt idx="33">
                  <c:v>148</c:v>
                </c:pt>
                <c:pt idx="34">
                  <c:v>148</c:v>
                </c:pt>
                <c:pt idx="35">
                  <c:v>148</c:v>
                </c:pt>
                <c:pt idx="36">
                  <c:v>161</c:v>
                </c:pt>
                <c:pt idx="37">
                  <c:v>161</c:v>
                </c:pt>
                <c:pt idx="38">
                  <c:v>161</c:v>
                </c:pt>
                <c:pt idx="39">
                  <c:v>161</c:v>
                </c:pt>
                <c:pt idx="40">
                  <c:v>171</c:v>
                </c:pt>
                <c:pt idx="41">
                  <c:v>171</c:v>
                </c:pt>
                <c:pt idx="42">
                  <c:v>171</c:v>
                </c:pt>
                <c:pt idx="43">
                  <c:v>171</c:v>
                </c:pt>
                <c:pt idx="44">
                  <c:v>175</c:v>
                </c:pt>
                <c:pt idx="45">
                  <c:v>175</c:v>
                </c:pt>
                <c:pt idx="46">
                  <c:v>175</c:v>
                </c:pt>
                <c:pt idx="47">
                  <c:v>175</c:v>
                </c:pt>
                <c:pt idx="48">
                  <c:v>176</c:v>
                </c:pt>
                <c:pt idx="49">
                  <c:v>176</c:v>
                </c:pt>
                <c:pt idx="50">
                  <c:v>176</c:v>
                </c:pt>
                <c:pt idx="51">
                  <c:v>176</c:v>
                </c:pt>
                <c:pt idx="52">
                  <c:v>171</c:v>
                </c:pt>
                <c:pt idx="53">
                  <c:v>171</c:v>
                </c:pt>
                <c:pt idx="54">
                  <c:v>171</c:v>
                </c:pt>
                <c:pt idx="55">
                  <c:v>171</c:v>
                </c:pt>
                <c:pt idx="56">
                  <c:v>160</c:v>
                </c:pt>
                <c:pt idx="57">
                  <c:v>160</c:v>
                </c:pt>
                <c:pt idx="58">
                  <c:v>160</c:v>
                </c:pt>
                <c:pt idx="59">
                  <c:v>160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131</c:v>
                </c:pt>
                <c:pt idx="65">
                  <c:v>131</c:v>
                </c:pt>
                <c:pt idx="66">
                  <c:v>131</c:v>
                </c:pt>
                <c:pt idx="67">
                  <c:v>131</c:v>
                </c:pt>
                <c:pt idx="68">
                  <c:v>124</c:v>
                </c:pt>
                <c:pt idx="69">
                  <c:v>124</c:v>
                </c:pt>
                <c:pt idx="70">
                  <c:v>124</c:v>
                </c:pt>
                <c:pt idx="71">
                  <c:v>124</c:v>
                </c:pt>
                <c:pt idx="72">
                  <c:v>117</c:v>
                </c:pt>
                <c:pt idx="73">
                  <c:v>117</c:v>
                </c:pt>
                <c:pt idx="74">
                  <c:v>117</c:v>
                </c:pt>
                <c:pt idx="75">
                  <c:v>117</c:v>
                </c:pt>
                <c:pt idx="76">
                  <c:v>107</c:v>
                </c:pt>
                <c:pt idx="77">
                  <c:v>107</c:v>
                </c:pt>
                <c:pt idx="78">
                  <c:v>107</c:v>
                </c:pt>
                <c:pt idx="79">
                  <c:v>107</c:v>
                </c:pt>
                <c:pt idx="80">
                  <c:v>97</c:v>
                </c:pt>
                <c:pt idx="81">
                  <c:v>97</c:v>
                </c:pt>
                <c:pt idx="82">
                  <c:v>97</c:v>
                </c:pt>
                <c:pt idx="83">
                  <c:v>97</c:v>
                </c:pt>
                <c:pt idx="84">
                  <c:v>86</c:v>
                </c:pt>
                <c:pt idx="85">
                  <c:v>86</c:v>
                </c:pt>
                <c:pt idx="86">
                  <c:v>86</c:v>
                </c:pt>
                <c:pt idx="87">
                  <c:v>86</c:v>
                </c:pt>
                <c:pt idx="88">
                  <c:v>77</c:v>
                </c:pt>
                <c:pt idx="89">
                  <c:v>77</c:v>
                </c:pt>
                <c:pt idx="90">
                  <c:v>77</c:v>
                </c:pt>
                <c:pt idx="91">
                  <c:v>77</c:v>
                </c:pt>
                <c:pt idx="92">
                  <c:v>69</c:v>
                </c:pt>
                <c:pt idx="93">
                  <c:v>69</c:v>
                </c:pt>
                <c:pt idx="94">
                  <c:v>69</c:v>
                </c:pt>
                <c:pt idx="9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A3-4DAB-B0B1-D69D08B88351}"/>
            </c:ext>
          </c:extLst>
        </c:ser>
        <c:ser>
          <c:idx val="2"/>
          <c:order val="13"/>
          <c:tx>
            <c:v>Hydro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(SELL)'!$B$14:$CW$14</c:f>
              <c:numCache>
                <c:formatCode>General</c:formatCode>
                <c:ptCount val="96"/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118</c:v>
                </c:pt>
                <c:pt idx="29">
                  <c:v>118</c:v>
                </c:pt>
                <c:pt idx="30">
                  <c:v>118</c:v>
                </c:pt>
                <c:pt idx="31">
                  <c:v>118</c:v>
                </c:pt>
                <c:pt idx="32">
                  <c:v>88</c:v>
                </c:pt>
                <c:pt idx="33">
                  <c:v>88</c:v>
                </c:pt>
                <c:pt idx="34">
                  <c:v>88</c:v>
                </c:pt>
                <c:pt idx="35">
                  <c:v>88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61">
                  <c:v>120</c:v>
                </c:pt>
                <c:pt idx="62">
                  <c:v>120</c:v>
                </c:pt>
                <c:pt idx="63">
                  <c:v>146</c:v>
                </c:pt>
                <c:pt idx="64">
                  <c:v>183</c:v>
                </c:pt>
                <c:pt idx="65">
                  <c:v>245</c:v>
                </c:pt>
                <c:pt idx="66">
                  <c:v>456</c:v>
                </c:pt>
                <c:pt idx="67">
                  <c:v>652</c:v>
                </c:pt>
                <c:pt idx="68">
                  <c:v>639</c:v>
                </c:pt>
                <c:pt idx="69">
                  <c:v>759</c:v>
                </c:pt>
                <c:pt idx="70">
                  <c:v>863</c:v>
                </c:pt>
                <c:pt idx="71">
                  <c:v>863</c:v>
                </c:pt>
                <c:pt idx="72">
                  <c:v>908</c:v>
                </c:pt>
                <c:pt idx="73">
                  <c:v>908</c:v>
                </c:pt>
                <c:pt idx="74">
                  <c:v>1048</c:v>
                </c:pt>
                <c:pt idx="75">
                  <c:v>1048</c:v>
                </c:pt>
                <c:pt idx="76">
                  <c:v>882</c:v>
                </c:pt>
                <c:pt idx="77">
                  <c:v>878</c:v>
                </c:pt>
                <c:pt idx="78">
                  <c:v>620</c:v>
                </c:pt>
                <c:pt idx="79">
                  <c:v>372</c:v>
                </c:pt>
                <c:pt idx="80">
                  <c:v>333</c:v>
                </c:pt>
                <c:pt idx="81">
                  <c:v>277</c:v>
                </c:pt>
                <c:pt idx="82">
                  <c:v>232</c:v>
                </c:pt>
                <c:pt idx="83">
                  <c:v>232</c:v>
                </c:pt>
                <c:pt idx="84">
                  <c:v>234</c:v>
                </c:pt>
                <c:pt idx="85">
                  <c:v>172</c:v>
                </c:pt>
                <c:pt idx="86">
                  <c:v>172</c:v>
                </c:pt>
                <c:pt idx="87">
                  <c:v>146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A3-4DAB-B0B1-D69D08B8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85056"/>
        <c:axId val="230185448"/>
      </c:barChart>
      <c:lineChart>
        <c:grouping val="standard"/>
        <c:varyColors val="0"/>
        <c:ser>
          <c:idx val="6"/>
          <c:order val="14"/>
          <c:tx>
            <c:v>GR-MCP</c:v>
          </c:tx>
          <c:spPr>
            <a:ln w="25400" cap="rnd" cmpd="sng">
              <a:solidFill>
                <a:srgbClr val="0070C0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rgbClr val="0070C0"/>
              </a:solidFill>
              <a:ln w="41275">
                <a:solidFill>
                  <a:srgbClr val="0070C0"/>
                </a:solidFill>
              </a:ln>
              <a:effectLst/>
            </c:spPr>
          </c:marker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(SELL)'!$B$8:$CW$8</c:f>
              <c:numCache>
                <c:formatCode>0.00</c:formatCode>
                <c:ptCount val="96"/>
                <c:pt idx="0">
                  <c:v>104.05</c:v>
                </c:pt>
                <c:pt idx="1">
                  <c:v>98.71</c:v>
                </c:pt>
                <c:pt idx="2">
                  <c:v>97.98</c:v>
                </c:pt>
                <c:pt idx="3">
                  <c:v>91.66</c:v>
                </c:pt>
                <c:pt idx="4">
                  <c:v>99.07</c:v>
                </c:pt>
                <c:pt idx="5">
                  <c:v>97.24</c:v>
                </c:pt>
                <c:pt idx="6">
                  <c:v>93.14</c:v>
                </c:pt>
                <c:pt idx="7">
                  <c:v>86.33</c:v>
                </c:pt>
                <c:pt idx="8">
                  <c:v>97.5</c:v>
                </c:pt>
                <c:pt idx="9">
                  <c:v>89.43</c:v>
                </c:pt>
                <c:pt idx="10">
                  <c:v>86.3</c:v>
                </c:pt>
                <c:pt idx="11">
                  <c:v>79</c:v>
                </c:pt>
                <c:pt idx="12">
                  <c:v>82.61</c:v>
                </c:pt>
                <c:pt idx="13">
                  <c:v>77.77</c:v>
                </c:pt>
                <c:pt idx="14">
                  <c:v>74.94</c:v>
                </c:pt>
                <c:pt idx="15">
                  <c:v>76.650000000000006</c:v>
                </c:pt>
                <c:pt idx="16">
                  <c:v>69.45</c:v>
                </c:pt>
                <c:pt idx="17">
                  <c:v>70.319999999999993</c:v>
                </c:pt>
                <c:pt idx="18">
                  <c:v>74.25</c:v>
                </c:pt>
                <c:pt idx="19">
                  <c:v>74.25</c:v>
                </c:pt>
                <c:pt idx="20">
                  <c:v>52.34</c:v>
                </c:pt>
                <c:pt idx="21">
                  <c:v>73.180000000000007</c:v>
                </c:pt>
                <c:pt idx="22">
                  <c:v>75.349999999999994</c:v>
                </c:pt>
                <c:pt idx="23">
                  <c:v>80.209999999999994</c:v>
                </c:pt>
                <c:pt idx="24">
                  <c:v>75.59</c:v>
                </c:pt>
                <c:pt idx="25">
                  <c:v>80.36</c:v>
                </c:pt>
                <c:pt idx="26">
                  <c:v>83.01</c:v>
                </c:pt>
                <c:pt idx="27">
                  <c:v>85.99</c:v>
                </c:pt>
                <c:pt idx="28">
                  <c:v>83.71</c:v>
                </c:pt>
                <c:pt idx="29">
                  <c:v>75.27</c:v>
                </c:pt>
                <c:pt idx="30">
                  <c:v>61.11</c:v>
                </c:pt>
                <c:pt idx="31">
                  <c:v>48.81</c:v>
                </c:pt>
                <c:pt idx="32">
                  <c:v>48.15</c:v>
                </c:pt>
                <c:pt idx="33">
                  <c:v>43.09</c:v>
                </c:pt>
                <c:pt idx="34">
                  <c:v>43.11</c:v>
                </c:pt>
                <c:pt idx="35">
                  <c:v>37.409999999999997</c:v>
                </c:pt>
                <c:pt idx="36">
                  <c:v>51.02</c:v>
                </c:pt>
                <c:pt idx="37">
                  <c:v>46.16</c:v>
                </c:pt>
                <c:pt idx="38">
                  <c:v>29.95</c:v>
                </c:pt>
                <c:pt idx="39">
                  <c:v>10.25</c:v>
                </c:pt>
                <c:pt idx="40">
                  <c:v>15.1</c:v>
                </c:pt>
                <c:pt idx="41">
                  <c:v>24.85</c:v>
                </c:pt>
                <c:pt idx="42">
                  <c:v>22.27</c:v>
                </c:pt>
                <c:pt idx="43">
                  <c:v>10.23</c:v>
                </c:pt>
                <c:pt idx="44">
                  <c:v>39.44</c:v>
                </c:pt>
                <c:pt idx="45">
                  <c:v>21.09</c:v>
                </c:pt>
                <c:pt idx="46">
                  <c:v>25.17</c:v>
                </c:pt>
                <c:pt idx="47">
                  <c:v>20.28</c:v>
                </c:pt>
                <c:pt idx="48">
                  <c:v>22.48</c:v>
                </c:pt>
                <c:pt idx="49">
                  <c:v>26.06</c:v>
                </c:pt>
                <c:pt idx="50">
                  <c:v>29.66</c:v>
                </c:pt>
                <c:pt idx="51">
                  <c:v>34.630000000000003</c:v>
                </c:pt>
                <c:pt idx="52">
                  <c:v>40.01</c:v>
                </c:pt>
                <c:pt idx="53">
                  <c:v>40</c:v>
                </c:pt>
                <c:pt idx="54">
                  <c:v>31.94</c:v>
                </c:pt>
                <c:pt idx="55">
                  <c:v>32.96</c:v>
                </c:pt>
                <c:pt idx="56">
                  <c:v>38.99</c:v>
                </c:pt>
                <c:pt idx="57">
                  <c:v>54.88</c:v>
                </c:pt>
                <c:pt idx="58">
                  <c:v>54.69</c:v>
                </c:pt>
                <c:pt idx="59">
                  <c:v>80.27</c:v>
                </c:pt>
                <c:pt idx="60">
                  <c:v>81.010000000000005</c:v>
                </c:pt>
                <c:pt idx="61">
                  <c:v>86.08</c:v>
                </c:pt>
                <c:pt idx="62">
                  <c:v>104.05</c:v>
                </c:pt>
                <c:pt idx="63">
                  <c:v>132.24</c:v>
                </c:pt>
                <c:pt idx="64">
                  <c:v>108.78</c:v>
                </c:pt>
                <c:pt idx="65">
                  <c:v>110.89</c:v>
                </c:pt>
                <c:pt idx="66">
                  <c:v>123.08</c:v>
                </c:pt>
                <c:pt idx="67">
                  <c:v>103.07</c:v>
                </c:pt>
                <c:pt idx="68">
                  <c:v>125.05</c:v>
                </c:pt>
                <c:pt idx="69">
                  <c:v>123.57</c:v>
                </c:pt>
                <c:pt idx="70">
                  <c:v>109.46</c:v>
                </c:pt>
                <c:pt idx="71">
                  <c:v>121.92</c:v>
                </c:pt>
                <c:pt idx="72">
                  <c:v>126.87</c:v>
                </c:pt>
                <c:pt idx="73">
                  <c:v>127.54</c:v>
                </c:pt>
                <c:pt idx="74">
                  <c:v>118.71</c:v>
                </c:pt>
                <c:pt idx="75">
                  <c:v>108.15</c:v>
                </c:pt>
                <c:pt idx="76">
                  <c:v>106.36</c:v>
                </c:pt>
                <c:pt idx="77">
                  <c:v>105.64</c:v>
                </c:pt>
                <c:pt idx="78">
                  <c:v>129.18</c:v>
                </c:pt>
                <c:pt idx="79">
                  <c:v>140.47</c:v>
                </c:pt>
                <c:pt idx="80">
                  <c:v>127.85</c:v>
                </c:pt>
                <c:pt idx="81">
                  <c:v>125.38</c:v>
                </c:pt>
                <c:pt idx="82">
                  <c:v>120.18</c:v>
                </c:pt>
                <c:pt idx="83">
                  <c:v>104.05</c:v>
                </c:pt>
                <c:pt idx="84">
                  <c:v>127.9</c:v>
                </c:pt>
                <c:pt idx="85">
                  <c:v>125.27</c:v>
                </c:pt>
                <c:pt idx="86">
                  <c:v>107.46</c:v>
                </c:pt>
                <c:pt idx="87">
                  <c:v>99.37</c:v>
                </c:pt>
                <c:pt idx="88">
                  <c:v>108.27</c:v>
                </c:pt>
                <c:pt idx="89">
                  <c:v>126.37</c:v>
                </c:pt>
                <c:pt idx="90">
                  <c:v>104.06</c:v>
                </c:pt>
                <c:pt idx="91">
                  <c:v>98.42</c:v>
                </c:pt>
                <c:pt idx="92">
                  <c:v>98.97</c:v>
                </c:pt>
                <c:pt idx="93">
                  <c:v>97.37</c:v>
                </c:pt>
                <c:pt idx="94">
                  <c:v>97.18</c:v>
                </c:pt>
                <c:pt idx="95">
                  <c:v>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A3-4DAB-B0B1-D69D08B8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6232"/>
        <c:axId val="230185840"/>
      </c:lineChart>
      <c:catAx>
        <c:axId val="2301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Market Time Unit (CET-15min)</a:t>
                </a:r>
              </a:p>
            </c:rich>
          </c:tx>
          <c:layout>
            <c:manualLayout>
              <c:xMode val="edge"/>
              <c:yMode val="edge"/>
              <c:x val="0.40611536179503388"/>
              <c:y val="0.95489107181206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448"/>
        <c:crosses val="autoZero"/>
        <c:auto val="1"/>
        <c:lblAlgn val="ctr"/>
        <c:lblOffset val="100"/>
        <c:tickLblSkip val="1"/>
        <c:noMultiLvlLbl val="0"/>
      </c:catAx>
      <c:valAx>
        <c:axId val="2301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Volume (MW)</a:t>
                </a:r>
              </a:p>
            </c:rich>
          </c:tx>
          <c:layout>
            <c:manualLayout>
              <c:xMode val="edge"/>
              <c:yMode val="edge"/>
              <c:x val="6.1164849755849376E-3"/>
              <c:y val="0.3847942530299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056"/>
        <c:crosses val="autoZero"/>
        <c:crossBetween val="between"/>
      </c:valAx>
      <c:valAx>
        <c:axId val="23018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GR-MCP (</a:t>
                </a:r>
                <a:r>
                  <a:rPr lang="el-GR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€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/MWh)</a:t>
                </a:r>
              </a:p>
            </c:rich>
          </c:tx>
          <c:layout>
            <c:manualLayout>
              <c:xMode val="edge"/>
              <c:yMode val="edge"/>
              <c:x val="0.96595699316536188"/>
              <c:y val="0.35805714236700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6232"/>
        <c:crosses val="max"/>
        <c:crossBetween val="between"/>
      </c:valAx>
      <c:catAx>
        <c:axId val="230186232"/>
        <c:scaling>
          <c:orientation val="minMax"/>
        </c:scaling>
        <c:delete val="1"/>
        <c:axPos val="b"/>
        <c:numFmt formatCode="00" sourceLinked="1"/>
        <c:majorTickMark val="out"/>
        <c:minorTickMark val="none"/>
        <c:tickLblPos val="nextTo"/>
        <c:crossAx val="23018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ayout>
        <c:manualLayout>
          <c:xMode val="edge"/>
          <c:yMode val="edge"/>
          <c:x val="5.6031024513082412E-3"/>
          <c:y val="1.7450176550173495E-2"/>
          <c:w val="0.98602425875699351"/>
          <c:h val="8.6584779093312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accent5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Arial" panose="020B0604020202020204" pitchFamily="34" charset="0"/>
            </a:defRPr>
          </a:pPr>
          <a:endParaRPr lang="el-G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63535392264782E-2"/>
          <c:y val="0.12534194912153115"/>
          <c:w val="0.8535328271597834"/>
          <c:h val="0.80566724007086565"/>
        </c:manualLayout>
      </c:layout>
      <c:barChart>
        <c:barDir val="col"/>
        <c:grouping val="stacked"/>
        <c:varyColors val="0"/>
        <c:ser>
          <c:idx val="12"/>
          <c:order val="0"/>
          <c:tx>
            <c:v>Sys. Losses</c:v>
          </c:tx>
          <c:spPr>
            <a:solidFill>
              <a:srgbClr val="DA9896"/>
            </a:solidFill>
            <a:ln>
              <a:solidFill>
                <a:srgbClr val="DA9896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(BUY)'!$B$24:$CW$24</c:f>
              <c:numCache>
                <c:formatCode>General</c:formatCode>
                <c:ptCount val="96"/>
                <c:pt idx="0">
                  <c:v>114</c:v>
                </c:pt>
                <c:pt idx="1">
                  <c:v>112</c:v>
                </c:pt>
                <c:pt idx="2">
                  <c:v>111</c:v>
                </c:pt>
                <c:pt idx="3">
                  <c:v>109</c:v>
                </c:pt>
                <c:pt idx="4">
                  <c:v>109</c:v>
                </c:pt>
                <c:pt idx="5">
                  <c:v>108</c:v>
                </c:pt>
                <c:pt idx="6">
                  <c:v>107</c:v>
                </c:pt>
                <c:pt idx="7">
                  <c:v>107</c:v>
                </c:pt>
                <c:pt idx="8">
                  <c:v>106</c:v>
                </c:pt>
                <c:pt idx="9">
                  <c:v>105</c:v>
                </c:pt>
                <c:pt idx="10">
                  <c:v>104</c:v>
                </c:pt>
                <c:pt idx="11">
                  <c:v>103</c:v>
                </c:pt>
                <c:pt idx="12">
                  <c:v>102</c:v>
                </c:pt>
                <c:pt idx="13">
                  <c:v>102</c:v>
                </c:pt>
                <c:pt idx="14">
                  <c:v>101</c:v>
                </c:pt>
                <c:pt idx="15">
                  <c:v>101</c:v>
                </c:pt>
                <c:pt idx="16">
                  <c:v>102</c:v>
                </c:pt>
                <c:pt idx="17">
                  <c:v>102</c:v>
                </c:pt>
                <c:pt idx="18">
                  <c:v>103</c:v>
                </c:pt>
                <c:pt idx="19">
                  <c:v>104</c:v>
                </c:pt>
                <c:pt idx="20">
                  <c:v>105</c:v>
                </c:pt>
                <c:pt idx="21">
                  <c:v>106</c:v>
                </c:pt>
                <c:pt idx="22">
                  <c:v>107</c:v>
                </c:pt>
                <c:pt idx="23">
                  <c:v>109</c:v>
                </c:pt>
                <c:pt idx="24">
                  <c:v>112</c:v>
                </c:pt>
                <c:pt idx="25">
                  <c:v>114</c:v>
                </c:pt>
                <c:pt idx="26">
                  <c:v>115</c:v>
                </c:pt>
                <c:pt idx="27">
                  <c:v>115</c:v>
                </c:pt>
                <c:pt idx="28">
                  <c:v>115</c:v>
                </c:pt>
                <c:pt idx="29">
                  <c:v>113</c:v>
                </c:pt>
                <c:pt idx="30">
                  <c:v>111</c:v>
                </c:pt>
                <c:pt idx="31">
                  <c:v>107</c:v>
                </c:pt>
                <c:pt idx="32">
                  <c:v>102</c:v>
                </c:pt>
                <c:pt idx="33">
                  <c:v>96</c:v>
                </c:pt>
                <c:pt idx="34">
                  <c:v>91</c:v>
                </c:pt>
                <c:pt idx="35">
                  <c:v>87</c:v>
                </c:pt>
                <c:pt idx="36">
                  <c:v>82</c:v>
                </c:pt>
                <c:pt idx="37">
                  <c:v>78</c:v>
                </c:pt>
                <c:pt idx="38">
                  <c:v>75</c:v>
                </c:pt>
                <c:pt idx="39">
                  <c:v>73</c:v>
                </c:pt>
                <c:pt idx="40">
                  <c:v>71</c:v>
                </c:pt>
                <c:pt idx="41">
                  <c:v>69</c:v>
                </c:pt>
                <c:pt idx="42">
                  <c:v>68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66</c:v>
                </c:pt>
                <c:pt idx="47">
                  <c:v>66</c:v>
                </c:pt>
                <c:pt idx="48">
                  <c:v>66</c:v>
                </c:pt>
                <c:pt idx="49">
                  <c:v>65</c:v>
                </c:pt>
                <c:pt idx="50">
                  <c:v>66</c:v>
                </c:pt>
                <c:pt idx="51">
                  <c:v>66</c:v>
                </c:pt>
                <c:pt idx="52">
                  <c:v>67</c:v>
                </c:pt>
                <c:pt idx="53">
                  <c:v>69</c:v>
                </c:pt>
                <c:pt idx="54">
                  <c:v>72</c:v>
                </c:pt>
                <c:pt idx="55">
                  <c:v>76</c:v>
                </c:pt>
                <c:pt idx="56">
                  <c:v>81</c:v>
                </c:pt>
                <c:pt idx="57">
                  <c:v>87</c:v>
                </c:pt>
                <c:pt idx="58">
                  <c:v>94</c:v>
                </c:pt>
                <c:pt idx="59">
                  <c:v>103</c:v>
                </c:pt>
                <c:pt idx="60">
                  <c:v>113</c:v>
                </c:pt>
                <c:pt idx="61">
                  <c:v>122</c:v>
                </c:pt>
                <c:pt idx="62">
                  <c:v>130</c:v>
                </c:pt>
                <c:pt idx="63">
                  <c:v>138</c:v>
                </c:pt>
                <c:pt idx="64">
                  <c:v>146</c:v>
                </c:pt>
                <c:pt idx="65">
                  <c:v>152</c:v>
                </c:pt>
                <c:pt idx="66">
                  <c:v>157</c:v>
                </c:pt>
                <c:pt idx="67">
                  <c:v>160</c:v>
                </c:pt>
                <c:pt idx="68">
                  <c:v>162</c:v>
                </c:pt>
                <c:pt idx="69">
                  <c:v>164</c:v>
                </c:pt>
                <c:pt idx="70">
                  <c:v>165</c:v>
                </c:pt>
                <c:pt idx="71">
                  <c:v>166</c:v>
                </c:pt>
                <c:pt idx="72">
                  <c:v>166</c:v>
                </c:pt>
                <c:pt idx="73">
                  <c:v>166</c:v>
                </c:pt>
                <c:pt idx="74">
                  <c:v>167</c:v>
                </c:pt>
                <c:pt idx="75">
                  <c:v>167</c:v>
                </c:pt>
                <c:pt idx="76">
                  <c:v>167</c:v>
                </c:pt>
                <c:pt idx="77">
                  <c:v>167</c:v>
                </c:pt>
                <c:pt idx="78">
                  <c:v>166</c:v>
                </c:pt>
                <c:pt idx="79">
                  <c:v>164</c:v>
                </c:pt>
                <c:pt idx="80">
                  <c:v>162</c:v>
                </c:pt>
                <c:pt idx="81">
                  <c:v>160</c:v>
                </c:pt>
                <c:pt idx="82">
                  <c:v>158</c:v>
                </c:pt>
                <c:pt idx="83">
                  <c:v>156</c:v>
                </c:pt>
                <c:pt idx="84">
                  <c:v>155</c:v>
                </c:pt>
                <c:pt idx="85">
                  <c:v>153</c:v>
                </c:pt>
                <c:pt idx="86">
                  <c:v>151</c:v>
                </c:pt>
                <c:pt idx="87">
                  <c:v>149</c:v>
                </c:pt>
                <c:pt idx="88">
                  <c:v>148</c:v>
                </c:pt>
                <c:pt idx="89">
                  <c:v>145</c:v>
                </c:pt>
                <c:pt idx="90">
                  <c:v>142</c:v>
                </c:pt>
                <c:pt idx="91">
                  <c:v>138</c:v>
                </c:pt>
                <c:pt idx="92">
                  <c:v>134</c:v>
                </c:pt>
                <c:pt idx="93">
                  <c:v>130</c:v>
                </c:pt>
                <c:pt idx="94">
                  <c:v>126</c:v>
                </c:pt>
                <c:pt idx="95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2-46FD-8253-C1A552831902}"/>
            </c:ext>
          </c:extLst>
        </c:ser>
        <c:ser>
          <c:idx val="5"/>
          <c:order val="1"/>
          <c:tx>
            <c:v>HV Load</c:v>
          </c:tx>
          <c:spPr>
            <a:solidFill>
              <a:srgbClr val="4F6228"/>
            </a:solidFill>
            <a:ln>
              <a:solidFill>
                <a:srgbClr val="4F6228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(BUY)'!$B$20:$CW$20</c:f>
              <c:numCache>
                <c:formatCode>General</c:formatCode>
                <c:ptCount val="96"/>
                <c:pt idx="0">
                  <c:v>614.78800000000001</c:v>
                </c:pt>
                <c:pt idx="1">
                  <c:v>614.86199999999997</c:v>
                </c:pt>
                <c:pt idx="2">
                  <c:v>615.07799999999997</c:v>
                </c:pt>
                <c:pt idx="3">
                  <c:v>614.78700000000003</c:v>
                </c:pt>
                <c:pt idx="4">
                  <c:v>613.98500000000001</c:v>
                </c:pt>
                <c:pt idx="5">
                  <c:v>614.04300000000012</c:v>
                </c:pt>
                <c:pt idx="6">
                  <c:v>614.12699999999995</c:v>
                </c:pt>
                <c:pt idx="7">
                  <c:v>613.81099999999992</c:v>
                </c:pt>
                <c:pt idx="8">
                  <c:v>609.03</c:v>
                </c:pt>
                <c:pt idx="9">
                  <c:v>609.26</c:v>
                </c:pt>
                <c:pt idx="10">
                  <c:v>609.68399999999997</c:v>
                </c:pt>
                <c:pt idx="11">
                  <c:v>609.65200000000004</c:v>
                </c:pt>
                <c:pt idx="12">
                  <c:v>609.67700000000002</c:v>
                </c:pt>
                <c:pt idx="13">
                  <c:v>609.53</c:v>
                </c:pt>
                <c:pt idx="14">
                  <c:v>609.4860000000001</c:v>
                </c:pt>
                <c:pt idx="15">
                  <c:v>609.73399999999992</c:v>
                </c:pt>
                <c:pt idx="16">
                  <c:v>610.88200000000006</c:v>
                </c:pt>
                <c:pt idx="17">
                  <c:v>610.86400000000003</c:v>
                </c:pt>
                <c:pt idx="18">
                  <c:v>610.60300000000007</c:v>
                </c:pt>
                <c:pt idx="19">
                  <c:v>611.07800000000009</c:v>
                </c:pt>
                <c:pt idx="20">
                  <c:v>611.94600000000003</c:v>
                </c:pt>
                <c:pt idx="21">
                  <c:v>611.76599999999996</c:v>
                </c:pt>
                <c:pt idx="22">
                  <c:v>611.75099999999998</c:v>
                </c:pt>
                <c:pt idx="23">
                  <c:v>611.93299999999999</c:v>
                </c:pt>
                <c:pt idx="24">
                  <c:v>615.27299999999991</c:v>
                </c:pt>
                <c:pt idx="25">
                  <c:v>615.12</c:v>
                </c:pt>
                <c:pt idx="26">
                  <c:v>615.32400000000007</c:v>
                </c:pt>
                <c:pt idx="27">
                  <c:v>614.63799999999992</c:v>
                </c:pt>
                <c:pt idx="28">
                  <c:v>613.44299999999998</c:v>
                </c:pt>
                <c:pt idx="29">
                  <c:v>612.91000000000008</c:v>
                </c:pt>
                <c:pt idx="30">
                  <c:v>612.73500000000001</c:v>
                </c:pt>
                <c:pt idx="31">
                  <c:v>612.7170000000001</c:v>
                </c:pt>
                <c:pt idx="32">
                  <c:v>594.78399999999999</c:v>
                </c:pt>
                <c:pt idx="33">
                  <c:v>594.66599999999994</c:v>
                </c:pt>
                <c:pt idx="34">
                  <c:v>594.12699999999995</c:v>
                </c:pt>
                <c:pt idx="35">
                  <c:v>594.202</c:v>
                </c:pt>
                <c:pt idx="36">
                  <c:v>563.09299999999996</c:v>
                </c:pt>
                <c:pt idx="37">
                  <c:v>563.11200000000008</c:v>
                </c:pt>
                <c:pt idx="38">
                  <c:v>562.47500000000002</c:v>
                </c:pt>
                <c:pt idx="39">
                  <c:v>562.678</c:v>
                </c:pt>
                <c:pt idx="40">
                  <c:v>567.74199999999996</c:v>
                </c:pt>
                <c:pt idx="41">
                  <c:v>567.94400000000007</c:v>
                </c:pt>
                <c:pt idx="42">
                  <c:v>567.32100000000003</c:v>
                </c:pt>
                <c:pt idx="43">
                  <c:v>567.22399999999993</c:v>
                </c:pt>
                <c:pt idx="44">
                  <c:v>566.11099999999988</c:v>
                </c:pt>
                <c:pt idx="45">
                  <c:v>566.447</c:v>
                </c:pt>
                <c:pt idx="46">
                  <c:v>566.10799999999995</c:v>
                </c:pt>
                <c:pt idx="47">
                  <c:v>565.88499999999999</c:v>
                </c:pt>
                <c:pt idx="48">
                  <c:v>562.952</c:v>
                </c:pt>
                <c:pt idx="49">
                  <c:v>562.8599999999999</c:v>
                </c:pt>
                <c:pt idx="50">
                  <c:v>562.89300000000003</c:v>
                </c:pt>
                <c:pt idx="51">
                  <c:v>563.08000000000004</c:v>
                </c:pt>
                <c:pt idx="52">
                  <c:v>558.31099999999992</c:v>
                </c:pt>
                <c:pt idx="53">
                  <c:v>558.72199999999998</c:v>
                </c:pt>
                <c:pt idx="54">
                  <c:v>559.14499999999998</c:v>
                </c:pt>
                <c:pt idx="55">
                  <c:v>559.01699999999994</c:v>
                </c:pt>
                <c:pt idx="56">
                  <c:v>555.59300000000007</c:v>
                </c:pt>
                <c:pt idx="57">
                  <c:v>556.01499999999999</c:v>
                </c:pt>
                <c:pt idx="58">
                  <c:v>556.36799999999994</c:v>
                </c:pt>
                <c:pt idx="59">
                  <c:v>556.09399999999994</c:v>
                </c:pt>
                <c:pt idx="60">
                  <c:v>554.24199999999996</c:v>
                </c:pt>
                <c:pt idx="61">
                  <c:v>554.43299999999999</c:v>
                </c:pt>
                <c:pt idx="62">
                  <c:v>554.42700000000002</c:v>
                </c:pt>
                <c:pt idx="63">
                  <c:v>554.89599999999996</c:v>
                </c:pt>
                <c:pt idx="64">
                  <c:v>561.14200000000005</c:v>
                </c:pt>
                <c:pt idx="65">
                  <c:v>561.31899999999996</c:v>
                </c:pt>
                <c:pt idx="66">
                  <c:v>562.35</c:v>
                </c:pt>
                <c:pt idx="67">
                  <c:v>562.10100000000011</c:v>
                </c:pt>
                <c:pt idx="68">
                  <c:v>567.82900000000006</c:v>
                </c:pt>
                <c:pt idx="69">
                  <c:v>567.69600000000003</c:v>
                </c:pt>
                <c:pt idx="70">
                  <c:v>568.02800000000002</c:v>
                </c:pt>
                <c:pt idx="71">
                  <c:v>568.29099999999994</c:v>
                </c:pt>
                <c:pt idx="72">
                  <c:v>600.29</c:v>
                </c:pt>
                <c:pt idx="73">
                  <c:v>600.50900000000001</c:v>
                </c:pt>
                <c:pt idx="74">
                  <c:v>600.39300000000003</c:v>
                </c:pt>
                <c:pt idx="75">
                  <c:v>600.65300000000002</c:v>
                </c:pt>
                <c:pt idx="76">
                  <c:v>606.13200000000006</c:v>
                </c:pt>
                <c:pt idx="77">
                  <c:v>606.34100000000001</c:v>
                </c:pt>
                <c:pt idx="78">
                  <c:v>606.49900000000002</c:v>
                </c:pt>
                <c:pt idx="79">
                  <c:v>606.20299999999997</c:v>
                </c:pt>
                <c:pt idx="80">
                  <c:v>610.70000000000005</c:v>
                </c:pt>
                <c:pt idx="81">
                  <c:v>611.56500000000005</c:v>
                </c:pt>
                <c:pt idx="82">
                  <c:v>611.01700000000005</c:v>
                </c:pt>
                <c:pt idx="83">
                  <c:v>610.64899999999989</c:v>
                </c:pt>
                <c:pt idx="84">
                  <c:v>612.80400000000009</c:v>
                </c:pt>
                <c:pt idx="85">
                  <c:v>612.65900000000011</c:v>
                </c:pt>
                <c:pt idx="86">
                  <c:v>613.62</c:v>
                </c:pt>
                <c:pt idx="87">
                  <c:v>612.97699999999998</c:v>
                </c:pt>
                <c:pt idx="88">
                  <c:v>613.81999999999994</c:v>
                </c:pt>
                <c:pt idx="89">
                  <c:v>613.52800000000002</c:v>
                </c:pt>
                <c:pt idx="90">
                  <c:v>613.76199999999994</c:v>
                </c:pt>
                <c:pt idx="91">
                  <c:v>614.7589999999999</c:v>
                </c:pt>
                <c:pt idx="92">
                  <c:v>614.37200000000007</c:v>
                </c:pt>
                <c:pt idx="93">
                  <c:v>614.81600000000003</c:v>
                </c:pt>
                <c:pt idx="94">
                  <c:v>615.26099999999997</c:v>
                </c:pt>
                <c:pt idx="95">
                  <c:v>615.50599999999997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2-46FD-8253-C1A552831902}"/>
            </c:ext>
          </c:extLst>
        </c:ser>
        <c:ser>
          <c:idx val="9"/>
          <c:order val="2"/>
          <c:tx>
            <c:v>MV Load</c:v>
          </c:tx>
          <c:spPr>
            <a:solidFill>
              <a:srgbClr val="77933C"/>
            </a:solidFill>
            <a:ln>
              <a:solidFill>
                <a:srgbClr val="77933C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(BUY)'!$B$21:$CW$21</c:f>
              <c:numCache>
                <c:formatCode>General</c:formatCode>
                <c:ptCount val="96"/>
                <c:pt idx="0">
                  <c:v>738.43000000000006</c:v>
                </c:pt>
                <c:pt idx="1">
                  <c:v>736.52900000000011</c:v>
                </c:pt>
                <c:pt idx="2">
                  <c:v>733.53800000000001</c:v>
                </c:pt>
                <c:pt idx="3">
                  <c:v>734.27600000000007</c:v>
                </c:pt>
                <c:pt idx="4">
                  <c:v>728.57100000000003</c:v>
                </c:pt>
                <c:pt idx="5">
                  <c:v>727.87300000000016</c:v>
                </c:pt>
                <c:pt idx="6">
                  <c:v>726.93299999999999</c:v>
                </c:pt>
                <c:pt idx="7">
                  <c:v>728.47799999999995</c:v>
                </c:pt>
                <c:pt idx="8">
                  <c:v>719.875</c:v>
                </c:pt>
                <c:pt idx="9">
                  <c:v>718.25700000000006</c:v>
                </c:pt>
                <c:pt idx="10">
                  <c:v>718.36599999999999</c:v>
                </c:pt>
                <c:pt idx="11">
                  <c:v>722.44899999999996</c:v>
                </c:pt>
                <c:pt idx="12">
                  <c:v>722.66600000000005</c:v>
                </c:pt>
                <c:pt idx="13">
                  <c:v>726.93799999999999</c:v>
                </c:pt>
                <c:pt idx="14">
                  <c:v>727.02800000000013</c:v>
                </c:pt>
                <c:pt idx="15">
                  <c:v>726.10599999999988</c:v>
                </c:pt>
                <c:pt idx="16">
                  <c:v>729.39800000000014</c:v>
                </c:pt>
                <c:pt idx="17">
                  <c:v>728.64100000000008</c:v>
                </c:pt>
                <c:pt idx="18">
                  <c:v>730.4559999999999</c:v>
                </c:pt>
                <c:pt idx="19">
                  <c:v>728.221</c:v>
                </c:pt>
                <c:pt idx="20">
                  <c:v>751.9849999999999</c:v>
                </c:pt>
                <c:pt idx="21">
                  <c:v>753.56899999999985</c:v>
                </c:pt>
                <c:pt idx="22">
                  <c:v>753.72399999999982</c:v>
                </c:pt>
                <c:pt idx="23">
                  <c:v>749.45799999999986</c:v>
                </c:pt>
                <c:pt idx="24">
                  <c:v>784.36899999999991</c:v>
                </c:pt>
                <c:pt idx="25">
                  <c:v>780.68000000000006</c:v>
                </c:pt>
                <c:pt idx="26">
                  <c:v>777.54199999999992</c:v>
                </c:pt>
                <c:pt idx="27">
                  <c:v>770.43499999999995</c:v>
                </c:pt>
                <c:pt idx="28">
                  <c:v>769.35400000000004</c:v>
                </c:pt>
                <c:pt idx="29">
                  <c:v>766.91000000000008</c:v>
                </c:pt>
                <c:pt idx="30">
                  <c:v>761.72600000000011</c:v>
                </c:pt>
                <c:pt idx="31">
                  <c:v>785.35</c:v>
                </c:pt>
                <c:pt idx="32">
                  <c:v>781.85699999999997</c:v>
                </c:pt>
                <c:pt idx="33">
                  <c:v>774.15</c:v>
                </c:pt>
                <c:pt idx="34">
                  <c:v>764.75700000000006</c:v>
                </c:pt>
                <c:pt idx="35">
                  <c:v>756.46499999999992</c:v>
                </c:pt>
                <c:pt idx="36">
                  <c:v>717.94900000000018</c:v>
                </c:pt>
                <c:pt idx="37">
                  <c:v>709.70299999999997</c:v>
                </c:pt>
                <c:pt idx="38">
                  <c:v>731.87799999999993</c:v>
                </c:pt>
                <c:pt idx="39">
                  <c:v>728.71100000000001</c:v>
                </c:pt>
                <c:pt idx="40">
                  <c:v>728.6819999999999</c:v>
                </c:pt>
                <c:pt idx="41">
                  <c:v>723.98099999999988</c:v>
                </c:pt>
                <c:pt idx="42">
                  <c:v>722.89099999999996</c:v>
                </c:pt>
                <c:pt idx="43">
                  <c:v>718.87099999999975</c:v>
                </c:pt>
                <c:pt idx="44">
                  <c:v>686.45099999999991</c:v>
                </c:pt>
                <c:pt idx="45">
                  <c:v>716.21100000000001</c:v>
                </c:pt>
                <c:pt idx="46">
                  <c:v>719.02099999999996</c:v>
                </c:pt>
                <c:pt idx="47">
                  <c:v>721.59299999999985</c:v>
                </c:pt>
                <c:pt idx="48">
                  <c:v>724.78200000000004</c:v>
                </c:pt>
                <c:pt idx="49">
                  <c:v>727.23300000000017</c:v>
                </c:pt>
                <c:pt idx="50">
                  <c:v>729.77099999999984</c:v>
                </c:pt>
                <c:pt idx="51">
                  <c:v>734.54899999999998</c:v>
                </c:pt>
                <c:pt idx="52">
                  <c:v>735.80100000000004</c:v>
                </c:pt>
                <c:pt idx="53">
                  <c:v>739.702</c:v>
                </c:pt>
                <c:pt idx="54">
                  <c:v>747.90800000000002</c:v>
                </c:pt>
                <c:pt idx="55">
                  <c:v>754.85199999999998</c:v>
                </c:pt>
                <c:pt idx="56">
                  <c:v>758.95100000000002</c:v>
                </c:pt>
                <c:pt idx="57">
                  <c:v>768.97199999999998</c:v>
                </c:pt>
                <c:pt idx="58">
                  <c:v>777.28599999999994</c:v>
                </c:pt>
                <c:pt idx="59">
                  <c:v>756.35700000000008</c:v>
                </c:pt>
                <c:pt idx="60">
                  <c:v>768.93599999999992</c:v>
                </c:pt>
                <c:pt idx="61">
                  <c:v>776.09799999999996</c:v>
                </c:pt>
                <c:pt idx="62">
                  <c:v>783.47600000000011</c:v>
                </c:pt>
                <c:pt idx="63">
                  <c:v>786.98200000000008</c:v>
                </c:pt>
                <c:pt idx="64">
                  <c:v>814.90699999999993</c:v>
                </c:pt>
                <c:pt idx="65">
                  <c:v>820.80899999999997</c:v>
                </c:pt>
                <c:pt idx="66">
                  <c:v>825.10700000000008</c:v>
                </c:pt>
                <c:pt idx="67">
                  <c:v>826.40800000000002</c:v>
                </c:pt>
                <c:pt idx="68">
                  <c:v>830.56099999999992</c:v>
                </c:pt>
                <c:pt idx="69">
                  <c:v>829.2170000000001</c:v>
                </c:pt>
                <c:pt idx="70">
                  <c:v>830.80700000000002</c:v>
                </c:pt>
                <c:pt idx="71">
                  <c:v>829.54000000000008</c:v>
                </c:pt>
                <c:pt idx="72">
                  <c:v>833.78</c:v>
                </c:pt>
                <c:pt idx="73">
                  <c:v>834.05800000000011</c:v>
                </c:pt>
                <c:pt idx="74">
                  <c:v>831.83399999999995</c:v>
                </c:pt>
                <c:pt idx="75">
                  <c:v>829.74699999999996</c:v>
                </c:pt>
                <c:pt idx="76">
                  <c:v>827.69100000000003</c:v>
                </c:pt>
                <c:pt idx="77">
                  <c:v>826.05900000000008</c:v>
                </c:pt>
                <c:pt idx="78">
                  <c:v>824.07899999999995</c:v>
                </c:pt>
                <c:pt idx="79">
                  <c:v>824.00499999999988</c:v>
                </c:pt>
                <c:pt idx="80">
                  <c:v>816.31899999999996</c:v>
                </c:pt>
                <c:pt idx="81">
                  <c:v>815.53099999999995</c:v>
                </c:pt>
                <c:pt idx="82">
                  <c:v>814.79599999999994</c:v>
                </c:pt>
                <c:pt idx="83">
                  <c:v>814.83600000000013</c:v>
                </c:pt>
                <c:pt idx="84">
                  <c:v>804.93999999999983</c:v>
                </c:pt>
                <c:pt idx="85">
                  <c:v>807.54300000000001</c:v>
                </c:pt>
                <c:pt idx="86">
                  <c:v>806.9899999999999</c:v>
                </c:pt>
                <c:pt idx="87">
                  <c:v>804.52299999999991</c:v>
                </c:pt>
                <c:pt idx="88">
                  <c:v>796.15700000000015</c:v>
                </c:pt>
                <c:pt idx="89">
                  <c:v>793.38399999999979</c:v>
                </c:pt>
                <c:pt idx="90">
                  <c:v>796.44499999999994</c:v>
                </c:pt>
                <c:pt idx="91">
                  <c:v>793.40500000000009</c:v>
                </c:pt>
                <c:pt idx="92">
                  <c:v>787.63099999999997</c:v>
                </c:pt>
                <c:pt idx="93">
                  <c:v>787.04300000000001</c:v>
                </c:pt>
                <c:pt idx="94">
                  <c:v>786.76500000000021</c:v>
                </c:pt>
                <c:pt idx="95">
                  <c:v>786.00400000000002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2-46FD-8253-C1A552831902}"/>
            </c:ext>
          </c:extLst>
        </c:ser>
        <c:ser>
          <c:idx val="10"/>
          <c:order val="3"/>
          <c:tx>
            <c:v>LV Load</c:v>
          </c:tx>
          <c:spPr>
            <a:solidFill>
              <a:srgbClr val="C3D69B"/>
            </a:solidFill>
            <a:ln>
              <a:solidFill>
                <a:srgbClr val="C3D69B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(BUY)'!$B$22:$CW$22</c:f>
              <c:numCache>
                <c:formatCode>General</c:formatCode>
                <c:ptCount val="96"/>
                <c:pt idx="0">
                  <c:v>3454.605</c:v>
                </c:pt>
                <c:pt idx="1">
                  <c:v>3384.0520000000001</c:v>
                </c:pt>
                <c:pt idx="2">
                  <c:v>3316.7860000000001</c:v>
                </c:pt>
                <c:pt idx="3">
                  <c:v>3273.768</c:v>
                </c:pt>
                <c:pt idx="4">
                  <c:v>3229.9909999999995</c:v>
                </c:pt>
                <c:pt idx="5">
                  <c:v>3201.848</c:v>
                </c:pt>
                <c:pt idx="6">
                  <c:v>3177.0339999999997</c:v>
                </c:pt>
                <c:pt idx="7">
                  <c:v>3181.5939999999996</c:v>
                </c:pt>
                <c:pt idx="8">
                  <c:v>3132.6690000000003</c:v>
                </c:pt>
                <c:pt idx="9">
                  <c:v>3116.2280000000001</c:v>
                </c:pt>
                <c:pt idx="10">
                  <c:v>3091.7329999999997</c:v>
                </c:pt>
                <c:pt idx="11">
                  <c:v>3091.5389999999998</c:v>
                </c:pt>
                <c:pt idx="12">
                  <c:v>3009.8029999999994</c:v>
                </c:pt>
                <c:pt idx="13">
                  <c:v>3015.46</c:v>
                </c:pt>
                <c:pt idx="14">
                  <c:v>2994.8229999999999</c:v>
                </c:pt>
                <c:pt idx="15">
                  <c:v>2980.1029999999996</c:v>
                </c:pt>
                <c:pt idx="16">
                  <c:v>2952.8579999999997</c:v>
                </c:pt>
                <c:pt idx="17">
                  <c:v>2948.4179999999997</c:v>
                </c:pt>
                <c:pt idx="18">
                  <c:v>2958.8149999999996</c:v>
                </c:pt>
                <c:pt idx="19">
                  <c:v>2982.3869999999997</c:v>
                </c:pt>
                <c:pt idx="20">
                  <c:v>3011.8199999999993</c:v>
                </c:pt>
                <c:pt idx="21">
                  <c:v>3041.0969999999993</c:v>
                </c:pt>
                <c:pt idx="22">
                  <c:v>3086.384</c:v>
                </c:pt>
                <c:pt idx="23">
                  <c:v>3144.4229999999993</c:v>
                </c:pt>
                <c:pt idx="24">
                  <c:v>3229.5359999999991</c:v>
                </c:pt>
                <c:pt idx="25">
                  <c:v>3289.415</c:v>
                </c:pt>
                <c:pt idx="26">
                  <c:v>3364.5579999999995</c:v>
                </c:pt>
                <c:pt idx="27">
                  <c:v>3444.5309999999995</c:v>
                </c:pt>
                <c:pt idx="28">
                  <c:v>3595.7029999999995</c:v>
                </c:pt>
                <c:pt idx="29">
                  <c:v>3729.846</c:v>
                </c:pt>
                <c:pt idx="30">
                  <c:v>3875.2939999999999</c:v>
                </c:pt>
                <c:pt idx="31">
                  <c:v>4066.82</c:v>
                </c:pt>
                <c:pt idx="32">
                  <c:v>4281.2240000000011</c:v>
                </c:pt>
                <c:pt idx="33">
                  <c:v>4422.25</c:v>
                </c:pt>
                <c:pt idx="34">
                  <c:v>4555.4980000000014</c:v>
                </c:pt>
                <c:pt idx="35">
                  <c:v>4676.8290000000006</c:v>
                </c:pt>
                <c:pt idx="36">
                  <c:v>4797.2430000000004</c:v>
                </c:pt>
                <c:pt idx="37">
                  <c:v>4892.9249999999993</c:v>
                </c:pt>
                <c:pt idx="38">
                  <c:v>5014.786000000001</c:v>
                </c:pt>
                <c:pt idx="39">
                  <c:v>5098.1719999999996</c:v>
                </c:pt>
                <c:pt idx="40">
                  <c:v>5178.0439999999999</c:v>
                </c:pt>
                <c:pt idx="41">
                  <c:v>5256.7640000000001</c:v>
                </c:pt>
                <c:pt idx="42">
                  <c:v>5309.7690000000002</c:v>
                </c:pt>
                <c:pt idx="43">
                  <c:v>5343.2920000000004</c:v>
                </c:pt>
                <c:pt idx="44">
                  <c:v>5352.299</c:v>
                </c:pt>
                <c:pt idx="45">
                  <c:v>5390.0209999999997</c:v>
                </c:pt>
                <c:pt idx="46">
                  <c:v>5376.7899999999991</c:v>
                </c:pt>
                <c:pt idx="47">
                  <c:v>5344.6869999999999</c:v>
                </c:pt>
                <c:pt idx="48">
                  <c:v>5283.8360000000011</c:v>
                </c:pt>
                <c:pt idx="49">
                  <c:v>5212.8910000000005</c:v>
                </c:pt>
                <c:pt idx="50">
                  <c:v>5138.3609999999999</c:v>
                </c:pt>
                <c:pt idx="51">
                  <c:v>5042.4000000000005</c:v>
                </c:pt>
                <c:pt idx="52">
                  <c:v>4931.7539999999999</c:v>
                </c:pt>
                <c:pt idx="53">
                  <c:v>4835.9390000000003</c:v>
                </c:pt>
                <c:pt idx="54">
                  <c:v>4753.549</c:v>
                </c:pt>
                <c:pt idx="55">
                  <c:v>4675.29</c:v>
                </c:pt>
                <c:pt idx="56">
                  <c:v>4578.0140000000001</c:v>
                </c:pt>
                <c:pt idx="57">
                  <c:v>4511.6770000000006</c:v>
                </c:pt>
                <c:pt idx="58">
                  <c:v>4458.8320000000003</c:v>
                </c:pt>
                <c:pt idx="59">
                  <c:v>4391.8550000000005</c:v>
                </c:pt>
                <c:pt idx="60">
                  <c:v>4393.1000000000004</c:v>
                </c:pt>
                <c:pt idx="61">
                  <c:v>4401.8270000000002</c:v>
                </c:pt>
                <c:pt idx="62">
                  <c:v>4442.5419999999995</c:v>
                </c:pt>
                <c:pt idx="63">
                  <c:v>4416.2049999999999</c:v>
                </c:pt>
                <c:pt idx="64">
                  <c:v>4604.6800000000012</c:v>
                </c:pt>
                <c:pt idx="65">
                  <c:v>4721.1149999999998</c:v>
                </c:pt>
                <c:pt idx="66">
                  <c:v>4862.857</c:v>
                </c:pt>
                <c:pt idx="67">
                  <c:v>4990.3339999999998</c:v>
                </c:pt>
                <c:pt idx="68">
                  <c:v>5102.4080000000004</c:v>
                </c:pt>
                <c:pt idx="69">
                  <c:v>5195.0860000000002</c:v>
                </c:pt>
                <c:pt idx="70">
                  <c:v>5257.1310000000003</c:v>
                </c:pt>
                <c:pt idx="71">
                  <c:v>5287.9010000000007</c:v>
                </c:pt>
                <c:pt idx="72">
                  <c:v>5235.1319999999996</c:v>
                </c:pt>
                <c:pt idx="73">
                  <c:v>5240.1069999999991</c:v>
                </c:pt>
                <c:pt idx="74">
                  <c:v>5285.0220000000008</c:v>
                </c:pt>
                <c:pt idx="75">
                  <c:v>5285.53</c:v>
                </c:pt>
                <c:pt idx="76">
                  <c:v>5269.4590000000007</c:v>
                </c:pt>
                <c:pt idx="77">
                  <c:v>5255.2979999999998</c:v>
                </c:pt>
                <c:pt idx="78">
                  <c:v>5185.317</c:v>
                </c:pt>
                <c:pt idx="79">
                  <c:v>5069.1080000000011</c:v>
                </c:pt>
                <c:pt idx="80">
                  <c:v>5064.0569999999998</c:v>
                </c:pt>
                <c:pt idx="81">
                  <c:v>4994.0170000000007</c:v>
                </c:pt>
                <c:pt idx="82">
                  <c:v>4918.2860000000001</c:v>
                </c:pt>
                <c:pt idx="83">
                  <c:v>4880.5649999999996</c:v>
                </c:pt>
                <c:pt idx="84">
                  <c:v>4744.9310000000005</c:v>
                </c:pt>
                <c:pt idx="85">
                  <c:v>4669.8789999999999</c:v>
                </c:pt>
                <c:pt idx="86">
                  <c:v>4638.7340000000004</c:v>
                </c:pt>
                <c:pt idx="87">
                  <c:v>4571.7449999999999</c:v>
                </c:pt>
                <c:pt idx="88">
                  <c:v>4421.1669999999995</c:v>
                </c:pt>
                <c:pt idx="89">
                  <c:v>4256.9049999999997</c:v>
                </c:pt>
                <c:pt idx="90">
                  <c:v>4223.7209999999995</c:v>
                </c:pt>
                <c:pt idx="91">
                  <c:v>4105.9469999999992</c:v>
                </c:pt>
                <c:pt idx="92">
                  <c:v>3941.4529999999995</c:v>
                </c:pt>
                <c:pt idx="93">
                  <c:v>3796.4689999999996</c:v>
                </c:pt>
                <c:pt idx="94">
                  <c:v>3665.8299999999995</c:v>
                </c:pt>
                <c:pt idx="95">
                  <c:v>3542.77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B2-46FD-8253-C1A552831902}"/>
            </c:ext>
          </c:extLst>
        </c:ser>
        <c:ser>
          <c:idx val="13"/>
          <c:order val="4"/>
          <c:tx>
            <c:v>CRETE Load</c:v>
          </c:tx>
          <c:spPr>
            <a:solidFill>
              <a:srgbClr val="D7E4BD"/>
            </a:solidFill>
            <a:ln>
              <a:solidFill>
                <a:srgbClr val="D7E4BD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(BUY)'!$B$25:$CW$25</c:f>
              <c:numCache>
                <c:formatCode>General</c:formatCode>
                <c:ptCount val="96"/>
                <c:pt idx="0">
                  <c:v>239</c:v>
                </c:pt>
                <c:pt idx="1">
                  <c:v>239</c:v>
                </c:pt>
                <c:pt idx="2">
                  <c:v>239</c:v>
                </c:pt>
                <c:pt idx="3">
                  <c:v>239</c:v>
                </c:pt>
                <c:pt idx="4">
                  <c:v>222.00000000000003</c:v>
                </c:pt>
                <c:pt idx="5">
                  <c:v>222.00000000000003</c:v>
                </c:pt>
                <c:pt idx="6">
                  <c:v>222.00000000000003</c:v>
                </c:pt>
                <c:pt idx="7">
                  <c:v>222.00000000000003</c:v>
                </c:pt>
                <c:pt idx="8">
                  <c:v>214.00000000000003</c:v>
                </c:pt>
                <c:pt idx="9">
                  <c:v>214.00000000000003</c:v>
                </c:pt>
                <c:pt idx="10">
                  <c:v>214.00000000000003</c:v>
                </c:pt>
                <c:pt idx="11">
                  <c:v>214.00000000000003</c:v>
                </c:pt>
                <c:pt idx="12">
                  <c:v>210</c:v>
                </c:pt>
                <c:pt idx="13">
                  <c:v>210</c:v>
                </c:pt>
                <c:pt idx="14">
                  <c:v>210</c:v>
                </c:pt>
                <c:pt idx="15">
                  <c:v>210</c:v>
                </c:pt>
                <c:pt idx="16">
                  <c:v>217</c:v>
                </c:pt>
                <c:pt idx="17">
                  <c:v>217</c:v>
                </c:pt>
                <c:pt idx="18">
                  <c:v>217</c:v>
                </c:pt>
                <c:pt idx="19">
                  <c:v>217</c:v>
                </c:pt>
                <c:pt idx="20">
                  <c:v>239</c:v>
                </c:pt>
                <c:pt idx="21">
                  <c:v>239</c:v>
                </c:pt>
                <c:pt idx="22">
                  <c:v>239</c:v>
                </c:pt>
                <c:pt idx="23">
                  <c:v>239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312.00000000000006</c:v>
                </c:pt>
                <c:pt idx="29">
                  <c:v>312.00000000000006</c:v>
                </c:pt>
                <c:pt idx="30">
                  <c:v>312.00000000000006</c:v>
                </c:pt>
                <c:pt idx="31">
                  <c:v>312.00000000000006</c:v>
                </c:pt>
                <c:pt idx="32">
                  <c:v>318</c:v>
                </c:pt>
                <c:pt idx="33">
                  <c:v>318</c:v>
                </c:pt>
                <c:pt idx="34">
                  <c:v>318</c:v>
                </c:pt>
                <c:pt idx="35">
                  <c:v>318</c:v>
                </c:pt>
                <c:pt idx="36">
                  <c:v>311</c:v>
                </c:pt>
                <c:pt idx="37">
                  <c:v>311</c:v>
                </c:pt>
                <c:pt idx="38">
                  <c:v>311</c:v>
                </c:pt>
                <c:pt idx="39">
                  <c:v>311</c:v>
                </c:pt>
                <c:pt idx="40">
                  <c:v>304</c:v>
                </c:pt>
                <c:pt idx="41">
                  <c:v>304</c:v>
                </c:pt>
                <c:pt idx="42">
                  <c:v>304</c:v>
                </c:pt>
                <c:pt idx="43">
                  <c:v>304</c:v>
                </c:pt>
                <c:pt idx="44">
                  <c:v>300.00000000000006</c:v>
                </c:pt>
                <c:pt idx="45">
                  <c:v>300.00000000000006</c:v>
                </c:pt>
                <c:pt idx="46">
                  <c:v>300.00000000000006</c:v>
                </c:pt>
                <c:pt idx="47">
                  <c:v>300.00000000000006</c:v>
                </c:pt>
                <c:pt idx="48">
                  <c:v>297</c:v>
                </c:pt>
                <c:pt idx="49">
                  <c:v>297</c:v>
                </c:pt>
                <c:pt idx="50">
                  <c:v>297</c:v>
                </c:pt>
                <c:pt idx="51">
                  <c:v>297</c:v>
                </c:pt>
                <c:pt idx="52">
                  <c:v>293</c:v>
                </c:pt>
                <c:pt idx="53">
                  <c:v>293</c:v>
                </c:pt>
                <c:pt idx="54">
                  <c:v>293</c:v>
                </c:pt>
                <c:pt idx="55">
                  <c:v>293</c:v>
                </c:pt>
                <c:pt idx="56">
                  <c:v>302</c:v>
                </c:pt>
                <c:pt idx="57">
                  <c:v>302</c:v>
                </c:pt>
                <c:pt idx="58">
                  <c:v>302</c:v>
                </c:pt>
                <c:pt idx="59">
                  <c:v>302</c:v>
                </c:pt>
                <c:pt idx="60">
                  <c:v>323.99999999999994</c:v>
                </c:pt>
                <c:pt idx="61">
                  <c:v>323.99999999999994</c:v>
                </c:pt>
                <c:pt idx="62">
                  <c:v>323.99999999999994</c:v>
                </c:pt>
                <c:pt idx="63">
                  <c:v>323.99999999999994</c:v>
                </c:pt>
                <c:pt idx="64">
                  <c:v>371</c:v>
                </c:pt>
                <c:pt idx="65">
                  <c:v>371</c:v>
                </c:pt>
                <c:pt idx="66">
                  <c:v>371</c:v>
                </c:pt>
                <c:pt idx="67">
                  <c:v>371</c:v>
                </c:pt>
                <c:pt idx="68">
                  <c:v>399.00000000000006</c:v>
                </c:pt>
                <c:pt idx="69">
                  <c:v>399.00000000000006</c:v>
                </c:pt>
                <c:pt idx="70">
                  <c:v>399.00000000000006</c:v>
                </c:pt>
                <c:pt idx="71">
                  <c:v>399.00000000000006</c:v>
                </c:pt>
                <c:pt idx="72">
                  <c:v>396</c:v>
                </c:pt>
                <c:pt idx="73">
                  <c:v>396</c:v>
                </c:pt>
                <c:pt idx="74">
                  <c:v>396</c:v>
                </c:pt>
                <c:pt idx="75">
                  <c:v>396</c:v>
                </c:pt>
                <c:pt idx="76">
                  <c:v>375</c:v>
                </c:pt>
                <c:pt idx="77">
                  <c:v>375</c:v>
                </c:pt>
                <c:pt idx="78">
                  <c:v>375</c:v>
                </c:pt>
                <c:pt idx="79">
                  <c:v>375</c:v>
                </c:pt>
                <c:pt idx="80">
                  <c:v>339</c:v>
                </c:pt>
                <c:pt idx="81">
                  <c:v>339</c:v>
                </c:pt>
                <c:pt idx="82">
                  <c:v>339</c:v>
                </c:pt>
                <c:pt idx="83">
                  <c:v>339</c:v>
                </c:pt>
                <c:pt idx="84">
                  <c:v>304</c:v>
                </c:pt>
                <c:pt idx="85">
                  <c:v>304</c:v>
                </c:pt>
                <c:pt idx="86">
                  <c:v>304</c:v>
                </c:pt>
                <c:pt idx="87">
                  <c:v>304</c:v>
                </c:pt>
                <c:pt idx="88">
                  <c:v>275</c:v>
                </c:pt>
                <c:pt idx="89">
                  <c:v>275</c:v>
                </c:pt>
                <c:pt idx="90">
                  <c:v>275</c:v>
                </c:pt>
                <c:pt idx="91">
                  <c:v>275</c:v>
                </c:pt>
                <c:pt idx="92">
                  <c:v>244</c:v>
                </c:pt>
                <c:pt idx="93">
                  <c:v>244</c:v>
                </c:pt>
                <c:pt idx="94">
                  <c:v>244</c:v>
                </c:pt>
                <c:pt idx="95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2-46FD-8253-C1A552831902}"/>
            </c:ext>
          </c:extLst>
        </c:ser>
        <c:ser>
          <c:idx val="14"/>
          <c:order val="5"/>
          <c:tx>
            <c:v>D/R Load</c:v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(BUY)'!$B$26:$CW$26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5-45B2-46FD-8253-C1A552831902}"/>
            </c:ext>
          </c:extLst>
        </c:ser>
        <c:ser>
          <c:idx val="11"/>
          <c:order val="6"/>
          <c:tx>
            <c:v>PUMP</c:v>
          </c:tx>
          <c:spPr>
            <a:solidFill>
              <a:srgbClr val="376092"/>
            </a:solidFill>
            <a:ln>
              <a:solidFill>
                <a:srgbClr val="376092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(BUY)'!$B$23:$CW$23</c:f>
              <c:numCache>
                <c:formatCode>General</c:formatCode>
                <c:ptCount val="96"/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3">
                  <c:v>100.39400000000001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B2-46FD-8253-C1A552831902}"/>
            </c:ext>
          </c:extLst>
        </c:ser>
        <c:ser>
          <c:idx val="0"/>
          <c:order val="7"/>
          <c:tx>
            <c:v>Lignite</c:v>
          </c:tx>
          <c:spPr>
            <a:solidFill>
              <a:srgbClr val="984807"/>
            </a:solidFill>
            <a:ln>
              <a:solidFill>
                <a:srgbClr val="984807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(BUY)'!$B$11:$CW$11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7-45B2-46FD-8253-C1A552831902}"/>
            </c:ext>
          </c:extLst>
        </c:ser>
        <c:ser>
          <c:idx val="8"/>
          <c:order val="8"/>
          <c:tx>
            <c:v>CRETE Conventional</c:v>
          </c:tx>
          <c:spPr>
            <a:solidFill>
              <a:srgbClr val="E46C0A"/>
            </a:solidFill>
            <a:ln>
              <a:solidFill>
                <a:srgbClr val="E46C0A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(BUY)'!$B$12:$CW$12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8-45B2-46FD-8253-C1A552831902}"/>
            </c:ext>
          </c:extLst>
        </c:ser>
        <c:ser>
          <c:idx val="1"/>
          <c:order val="9"/>
          <c:tx>
            <c:v>GAS</c:v>
          </c:tx>
          <c:spPr>
            <a:solidFill>
              <a:srgbClr val="FAC090"/>
            </a:solidFill>
            <a:ln>
              <a:solidFill>
                <a:srgbClr val="FAC09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(BUY)'!$B$13:$CW$13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9-45B2-46FD-8253-C1A552831902}"/>
            </c:ext>
          </c:extLst>
        </c:ser>
        <c:ser>
          <c:idx val="4"/>
          <c:order val="10"/>
          <c:tx>
            <c:v>Exports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(BUY)'!$B$41:$CW$41</c:f>
              <c:numCache>
                <c:formatCode>0.000</c:formatCode>
                <c:ptCount val="96"/>
                <c:pt idx="0">
                  <c:v>1692.7</c:v>
                </c:pt>
                <c:pt idx="1">
                  <c:v>1700.6</c:v>
                </c:pt>
                <c:pt idx="2">
                  <c:v>1459.3</c:v>
                </c:pt>
                <c:pt idx="3">
                  <c:v>1195.2</c:v>
                </c:pt>
                <c:pt idx="4">
                  <c:v>1661.3</c:v>
                </c:pt>
                <c:pt idx="5">
                  <c:v>1436.5</c:v>
                </c:pt>
                <c:pt idx="6">
                  <c:v>1355.6</c:v>
                </c:pt>
                <c:pt idx="7">
                  <c:v>1327.3</c:v>
                </c:pt>
                <c:pt idx="8">
                  <c:v>1392</c:v>
                </c:pt>
                <c:pt idx="9">
                  <c:v>1176.7</c:v>
                </c:pt>
                <c:pt idx="10">
                  <c:v>1163</c:v>
                </c:pt>
                <c:pt idx="11">
                  <c:v>1163</c:v>
                </c:pt>
                <c:pt idx="12">
                  <c:v>1169</c:v>
                </c:pt>
                <c:pt idx="13">
                  <c:v>1169</c:v>
                </c:pt>
                <c:pt idx="14">
                  <c:v>1169</c:v>
                </c:pt>
                <c:pt idx="15">
                  <c:v>1169</c:v>
                </c:pt>
                <c:pt idx="16">
                  <c:v>1135</c:v>
                </c:pt>
                <c:pt idx="17">
                  <c:v>1135</c:v>
                </c:pt>
                <c:pt idx="18">
                  <c:v>1135</c:v>
                </c:pt>
                <c:pt idx="19">
                  <c:v>1135</c:v>
                </c:pt>
                <c:pt idx="20">
                  <c:v>1099</c:v>
                </c:pt>
                <c:pt idx="21">
                  <c:v>1099</c:v>
                </c:pt>
                <c:pt idx="22">
                  <c:v>1099</c:v>
                </c:pt>
                <c:pt idx="23">
                  <c:v>1099</c:v>
                </c:pt>
                <c:pt idx="24">
                  <c:v>1042</c:v>
                </c:pt>
                <c:pt idx="25">
                  <c:v>1042</c:v>
                </c:pt>
                <c:pt idx="26">
                  <c:v>1042</c:v>
                </c:pt>
                <c:pt idx="27">
                  <c:v>1042</c:v>
                </c:pt>
                <c:pt idx="28">
                  <c:v>1010</c:v>
                </c:pt>
                <c:pt idx="29">
                  <c:v>1010</c:v>
                </c:pt>
                <c:pt idx="30">
                  <c:v>1010</c:v>
                </c:pt>
                <c:pt idx="31">
                  <c:v>1010</c:v>
                </c:pt>
                <c:pt idx="32">
                  <c:v>1067</c:v>
                </c:pt>
                <c:pt idx="33">
                  <c:v>1128.5999999999999</c:v>
                </c:pt>
                <c:pt idx="34">
                  <c:v>1526</c:v>
                </c:pt>
                <c:pt idx="35">
                  <c:v>1806.3</c:v>
                </c:pt>
                <c:pt idx="36">
                  <c:v>1740.6</c:v>
                </c:pt>
                <c:pt idx="37">
                  <c:v>1864.1</c:v>
                </c:pt>
                <c:pt idx="38">
                  <c:v>1833.3</c:v>
                </c:pt>
                <c:pt idx="39">
                  <c:v>1977.1</c:v>
                </c:pt>
                <c:pt idx="40">
                  <c:v>1986.4</c:v>
                </c:pt>
                <c:pt idx="41">
                  <c:v>1997.1</c:v>
                </c:pt>
                <c:pt idx="42">
                  <c:v>2044.5</c:v>
                </c:pt>
                <c:pt idx="43">
                  <c:v>2025</c:v>
                </c:pt>
                <c:pt idx="44">
                  <c:v>2022.2</c:v>
                </c:pt>
                <c:pt idx="45">
                  <c:v>1903.8</c:v>
                </c:pt>
                <c:pt idx="46">
                  <c:v>1838.3</c:v>
                </c:pt>
                <c:pt idx="47">
                  <c:v>1789.1</c:v>
                </c:pt>
                <c:pt idx="48">
                  <c:v>1772.5</c:v>
                </c:pt>
                <c:pt idx="49">
                  <c:v>1685.3</c:v>
                </c:pt>
                <c:pt idx="50">
                  <c:v>1595.2</c:v>
                </c:pt>
                <c:pt idx="51">
                  <c:v>1485.7</c:v>
                </c:pt>
                <c:pt idx="52">
                  <c:v>1501.2</c:v>
                </c:pt>
                <c:pt idx="53">
                  <c:v>1285.7</c:v>
                </c:pt>
                <c:pt idx="54">
                  <c:v>1267.7</c:v>
                </c:pt>
                <c:pt idx="55">
                  <c:v>1266</c:v>
                </c:pt>
                <c:pt idx="56">
                  <c:v>1156</c:v>
                </c:pt>
                <c:pt idx="57">
                  <c:v>1156</c:v>
                </c:pt>
                <c:pt idx="58">
                  <c:v>1156</c:v>
                </c:pt>
                <c:pt idx="59">
                  <c:v>1156</c:v>
                </c:pt>
                <c:pt idx="60">
                  <c:v>1146</c:v>
                </c:pt>
                <c:pt idx="61">
                  <c:v>1146</c:v>
                </c:pt>
                <c:pt idx="62">
                  <c:v>1146</c:v>
                </c:pt>
                <c:pt idx="63">
                  <c:v>1146</c:v>
                </c:pt>
                <c:pt idx="64">
                  <c:v>589</c:v>
                </c:pt>
                <c:pt idx="65">
                  <c:v>589</c:v>
                </c:pt>
                <c:pt idx="66">
                  <c:v>589</c:v>
                </c:pt>
                <c:pt idx="67">
                  <c:v>589</c:v>
                </c:pt>
                <c:pt idx="68">
                  <c:v>625</c:v>
                </c:pt>
                <c:pt idx="69">
                  <c:v>625</c:v>
                </c:pt>
                <c:pt idx="70">
                  <c:v>625</c:v>
                </c:pt>
                <c:pt idx="71">
                  <c:v>625</c:v>
                </c:pt>
                <c:pt idx="72">
                  <c:v>614</c:v>
                </c:pt>
                <c:pt idx="73">
                  <c:v>614</c:v>
                </c:pt>
                <c:pt idx="74">
                  <c:v>614</c:v>
                </c:pt>
                <c:pt idx="75">
                  <c:v>614</c:v>
                </c:pt>
                <c:pt idx="76">
                  <c:v>604</c:v>
                </c:pt>
                <c:pt idx="77">
                  <c:v>604</c:v>
                </c:pt>
                <c:pt idx="78">
                  <c:v>604</c:v>
                </c:pt>
                <c:pt idx="79">
                  <c:v>604</c:v>
                </c:pt>
                <c:pt idx="80">
                  <c:v>598</c:v>
                </c:pt>
                <c:pt idx="81">
                  <c:v>598</c:v>
                </c:pt>
                <c:pt idx="82">
                  <c:v>598</c:v>
                </c:pt>
                <c:pt idx="83">
                  <c:v>598</c:v>
                </c:pt>
                <c:pt idx="84">
                  <c:v>640</c:v>
                </c:pt>
                <c:pt idx="85">
                  <c:v>640</c:v>
                </c:pt>
                <c:pt idx="86">
                  <c:v>640</c:v>
                </c:pt>
                <c:pt idx="87">
                  <c:v>640</c:v>
                </c:pt>
                <c:pt idx="88">
                  <c:v>673</c:v>
                </c:pt>
                <c:pt idx="89">
                  <c:v>673</c:v>
                </c:pt>
                <c:pt idx="90">
                  <c:v>673</c:v>
                </c:pt>
                <c:pt idx="91">
                  <c:v>673</c:v>
                </c:pt>
                <c:pt idx="92">
                  <c:v>1151</c:v>
                </c:pt>
                <c:pt idx="93">
                  <c:v>1151</c:v>
                </c:pt>
                <c:pt idx="94">
                  <c:v>1151</c:v>
                </c:pt>
                <c:pt idx="95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B2-46FD-8253-C1A552831902}"/>
            </c:ext>
          </c:extLst>
        </c:ser>
        <c:ser>
          <c:idx val="3"/>
          <c:order val="11"/>
          <c:tx>
            <c:v>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(BUY)'!$B$15:$CW$15</c:f>
              <c:numCache>
                <c:formatCode>General</c:formatCode>
                <c:ptCount val="96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52.911999999999999</c:v>
                </c:pt>
                <c:pt idx="28">
                  <c:v>49.008000000000003</c:v>
                </c:pt>
                <c:pt idx="29">
                  <c:v>42.911999999999999</c:v>
                </c:pt>
                <c:pt idx="30">
                  <c:v>35.975999999999999</c:v>
                </c:pt>
                <c:pt idx="31">
                  <c:v>29.648</c:v>
                </c:pt>
                <c:pt idx="32">
                  <c:v>24.256</c:v>
                </c:pt>
                <c:pt idx="33">
                  <c:v>18.82</c:v>
                </c:pt>
                <c:pt idx="34">
                  <c:v>13.295999999999999</c:v>
                </c:pt>
                <c:pt idx="35">
                  <c:v>8.4</c:v>
                </c:pt>
                <c:pt idx="36">
                  <c:v>4.4160000000000004</c:v>
                </c:pt>
                <c:pt idx="37">
                  <c:v>0.54800000000000004</c:v>
                </c:pt>
                <c:pt idx="52">
                  <c:v>0.59599999999999997</c:v>
                </c:pt>
                <c:pt idx="53">
                  <c:v>4.444</c:v>
                </c:pt>
                <c:pt idx="54">
                  <c:v>8.5839999999999996</c:v>
                </c:pt>
                <c:pt idx="55">
                  <c:v>13.263999999999999</c:v>
                </c:pt>
                <c:pt idx="56">
                  <c:v>18.431999999999999</c:v>
                </c:pt>
                <c:pt idx="57">
                  <c:v>23.608000000000001</c:v>
                </c:pt>
                <c:pt idx="58">
                  <c:v>29.04</c:v>
                </c:pt>
                <c:pt idx="59">
                  <c:v>35.131999999999998</c:v>
                </c:pt>
                <c:pt idx="60">
                  <c:v>41.444000000000003</c:v>
                </c:pt>
                <c:pt idx="61">
                  <c:v>46.643999999999998</c:v>
                </c:pt>
                <c:pt idx="62">
                  <c:v>50.375999999999998</c:v>
                </c:pt>
                <c:pt idx="63">
                  <c:v>52.868000000000002</c:v>
                </c:pt>
                <c:pt idx="64">
                  <c:v>55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  <c:pt idx="75">
                  <c:v>55</c:v>
                </c:pt>
                <c:pt idx="76">
                  <c:v>55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55</c:v>
                </c:pt>
                <c:pt idx="81">
                  <c:v>55</c:v>
                </c:pt>
                <c:pt idx="82">
                  <c:v>55</c:v>
                </c:pt>
                <c:pt idx="83">
                  <c:v>55</c:v>
                </c:pt>
                <c:pt idx="84">
                  <c:v>55</c:v>
                </c:pt>
                <c:pt idx="85">
                  <c:v>55</c:v>
                </c:pt>
                <c:pt idx="86">
                  <c:v>55</c:v>
                </c:pt>
                <c:pt idx="87">
                  <c:v>55</c:v>
                </c:pt>
                <c:pt idx="88">
                  <c:v>55</c:v>
                </c:pt>
                <c:pt idx="89">
                  <c:v>55</c:v>
                </c:pt>
                <c:pt idx="90">
                  <c:v>55</c:v>
                </c:pt>
                <c:pt idx="91">
                  <c:v>55</c:v>
                </c:pt>
                <c:pt idx="92">
                  <c:v>55</c:v>
                </c:pt>
                <c:pt idx="93">
                  <c:v>55</c:v>
                </c:pt>
                <c:pt idx="94">
                  <c:v>55</c:v>
                </c:pt>
                <c:pt idx="9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B2-46FD-8253-C1A552831902}"/>
            </c:ext>
          </c:extLst>
        </c:ser>
        <c:ser>
          <c:idx val="7"/>
          <c:order val="12"/>
          <c:tx>
            <c:v>CRETE Renewables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(BUY)'!$B$16:$CW$16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C-45B2-46FD-8253-C1A552831902}"/>
            </c:ext>
          </c:extLst>
        </c:ser>
        <c:ser>
          <c:idx val="2"/>
          <c:order val="13"/>
          <c:tx>
            <c:v>Hydro</c:v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(BUY)'!$B$14:$CW$14</c:f>
              <c:numCache>
                <c:formatCode>General</c:formatCode>
                <c:ptCount val="96"/>
              </c:numCache>
            </c:numRef>
          </c:val>
          <c:extLst>
            <c:ext xmlns:c16="http://schemas.microsoft.com/office/drawing/2014/chart" uri="{C3380CC4-5D6E-409C-BE32-E72D297353CC}">
              <c16:uniqueId val="{0000000D-45B2-46FD-8253-C1A552831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0185056"/>
        <c:axId val="230185448"/>
      </c:barChart>
      <c:lineChart>
        <c:grouping val="standard"/>
        <c:varyColors val="0"/>
        <c:ser>
          <c:idx val="6"/>
          <c:order val="14"/>
          <c:tx>
            <c:v>GR-MCP</c:v>
          </c:tx>
          <c:spPr>
            <a:ln w="25400" cap="rnd" cmpd="sng">
              <a:solidFill>
                <a:srgbClr val="0070C0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rgbClr val="0070C0"/>
              </a:solidFill>
              <a:ln w="41275">
                <a:solidFill>
                  <a:srgbClr val="0070C0"/>
                </a:solidFill>
              </a:ln>
              <a:effectLst/>
            </c:spPr>
          </c:marker>
          <c:cat>
            <c:numRef>
              <c:f>'SPOT_Summary (SELL)'!$B$3:$CW$3</c:f>
              <c:numCache>
                <c:formatCode>00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'SPOT_Summary (BUY)'!$B$8:$CW$8</c:f>
              <c:numCache>
                <c:formatCode>0.00</c:formatCode>
                <c:ptCount val="96"/>
                <c:pt idx="0">
                  <c:v>104.05</c:v>
                </c:pt>
                <c:pt idx="1">
                  <c:v>98.71</c:v>
                </c:pt>
                <c:pt idx="2">
                  <c:v>97.98</c:v>
                </c:pt>
                <c:pt idx="3">
                  <c:v>91.66</c:v>
                </c:pt>
                <c:pt idx="4">
                  <c:v>99.07</c:v>
                </c:pt>
                <c:pt idx="5">
                  <c:v>97.24</c:v>
                </c:pt>
                <c:pt idx="6">
                  <c:v>93.14</c:v>
                </c:pt>
                <c:pt idx="7">
                  <c:v>86.33</c:v>
                </c:pt>
                <c:pt idx="8">
                  <c:v>97.5</c:v>
                </c:pt>
                <c:pt idx="9">
                  <c:v>89.43</c:v>
                </c:pt>
                <c:pt idx="10">
                  <c:v>86.3</c:v>
                </c:pt>
                <c:pt idx="11">
                  <c:v>79</c:v>
                </c:pt>
                <c:pt idx="12">
                  <c:v>82.61</c:v>
                </c:pt>
                <c:pt idx="13">
                  <c:v>77.77</c:v>
                </c:pt>
                <c:pt idx="14">
                  <c:v>74.94</c:v>
                </c:pt>
                <c:pt idx="15">
                  <c:v>76.650000000000006</c:v>
                </c:pt>
                <c:pt idx="16">
                  <c:v>69.45</c:v>
                </c:pt>
                <c:pt idx="17">
                  <c:v>70.319999999999993</c:v>
                </c:pt>
                <c:pt idx="18">
                  <c:v>74.25</c:v>
                </c:pt>
                <c:pt idx="19">
                  <c:v>74.25</c:v>
                </c:pt>
                <c:pt idx="20">
                  <c:v>52.34</c:v>
                </c:pt>
                <c:pt idx="21">
                  <c:v>73.180000000000007</c:v>
                </c:pt>
                <c:pt idx="22">
                  <c:v>75.349999999999994</c:v>
                </c:pt>
                <c:pt idx="23">
                  <c:v>80.209999999999994</c:v>
                </c:pt>
                <c:pt idx="24">
                  <c:v>75.59</c:v>
                </c:pt>
                <c:pt idx="25">
                  <c:v>80.36</c:v>
                </c:pt>
                <c:pt idx="26">
                  <c:v>83.01</c:v>
                </c:pt>
                <c:pt idx="27">
                  <c:v>85.99</c:v>
                </c:pt>
                <c:pt idx="28">
                  <c:v>83.71</c:v>
                </c:pt>
                <c:pt idx="29">
                  <c:v>75.27</c:v>
                </c:pt>
                <c:pt idx="30">
                  <c:v>61.11</c:v>
                </c:pt>
                <c:pt idx="31">
                  <c:v>48.81</c:v>
                </c:pt>
                <c:pt idx="32">
                  <c:v>48.15</c:v>
                </c:pt>
                <c:pt idx="33">
                  <c:v>43.09</c:v>
                </c:pt>
                <c:pt idx="34">
                  <c:v>43.11</c:v>
                </c:pt>
                <c:pt idx="35">
                  <c:v>37.409999999999997</c:v>
                </c:pt>
                <c:pt idx="36">
                  <c:v>51.02</c:v>
                </c:pt>
                <c:pt idx="37">
                  <c:v>46.16</c:v>
                </c:pt>
                <c:pt idx="38">
                  <c:v>29.95</c:v>
                </c:pt>
                <c:pt idx="39">
                  <c:v>10.25</c:v>
                </c:pt>
                <c:pt idx="40">
                  <c:v>15.1</c:v>
                </c:pt>
                <c:pt idx="41">
                  <c:v>24.85</c:v>
                </c:pt>
                <c:pt idx="42">
                  <c:v>22.27</c:v>
                </c:pt>
                <c:pt idx="43">
                  <c:v>10.23</c:v>
                </c:pt>
                <c:pt idx="44">
                  <c:v>39.44</c:v>
                </c:pt>
                <c:pt idx="45">
                  <c:v>21.09</c:v>
                </c:pt>
                <c:pt idx="46">
                  <c:v>25.17</c:v>
                </c:pt>
                <c:pt idx="47">
                  <c:v>20.28</c:v>
                </c:pt>
                <c:pt idx="48">
                  <c:v>22.48</c:v>
                </c:pt>
                <c:pt idx="49">
                  <c:v>26.06</c:v>
                </c:pt>
                <c:pt idx="50">
                  <c:v>29.66</c:v>
                </c:pt>
                <c:pt idx="51">
                  <c:v>34.630000000000003</c:v>
                </c:pt>
                <c:pt idx="52">
                  <c:v>40.01</c:v>
                </c:pt>
                <c:pt idx="53">
                  <c:v>40</c:v>
                </c:pt>
                <c:pt idx="54">
                  <c:v>31.94</c:v>
                </c:pt>
                <c:pt idx="55">
                  <c:v>32.96</c:v>
                </c:pt>
                <c:pt idx="56">
                  <c:v>38.99</c:v>
                </c:pt>
                <c:pt idx="57">
                  <c:v>54.88</c:v>
                </c:pt>
                <c:pt idx="58">
                  <c:v>54.69</c:v>
                </c:pt>
                <c:pt idx="59">
                  <c:v>80.27</c:v>
                </c:pt>
                <c:pt idx="60">
                  <c:v>81.010000000000005</c:v>
                </c:pt>
                <c:pt idx="61">
                  <c:v>86.08</c:v>
                </c:pt>
                <c:pt idx="62">
                  <c:v>104.05</c:v>
                </c:pt>
                <c:pt idx="63">
                  <c:v>132.24</c:v>
                </c:pt>
                <c:pt idx="64">
                  <c:v>108.78</c:v>
                </c:pt>
                <c:pt idx="65">
                  <c:v>110.89</c:v>
                </c:pt>
                <c:pt idx="66">
                  <c:v>123.08</c:v>
                </c:pt>
                <c:pt idx="67">
                  <c:v>103.07</c:v>
                </c:pt>
                <c:pt idx="68">
                  <c:v>125.05</c:v>
                </c:pt>
                <c:pt idx="69">
                  <c:v>123.57</c:v>
                </c:pt>
                <c:pt idx="70">
                  <c:v>109.46</c:v>
                </c:pt>
                <c:pt idx="71">
                  <c:v>121.92</c:v>
                </c:pt>
                <c:pt idx="72">
                  <c:v>126.87</c:v>
                </c:pt>
                <c:pt idx="73">
                  <c:v>127.54</c:v>
                </c:pt>
                <c:pt idx="74">
                  <c:v>118.71</c:v>
                </c:pt>
                <c:pt idx="75">
                  <c:v>108.15</c:v>
                </c:pt>
                <c:pt idx="76">
                  <c:v>106.36</c:v>
                </c:pt>
                <c:pt idx="77">
                  <c:v>105.64</c:v>
                </c:pt>
                <c:pt idx="78">
                  <c:v>129.18</c:v>
                </c:pt>
                <c:pt idx="79">
                  <c:v>140.47</c:v>
                </c:pt>
                <c:pt idx="80">
                  <c:v>127.85</c:v>
                </c:pt>
                <c:pt idx="81">
                  <c:v>125.38</c:v>
                </c:pt>
                <c:pt idx="82">
                  <c:v>120.18</c:v>
                </c:pt>
                <c:pt idx="83">
                  <c:v>104.05</c:v>
                </c:pt>
                <c:pt idx="84">
                  <c:v>127.9</c:v>
                </c:pt>
                <c:pt idx="85">
                  <c:v>125.27</c:v>
                </c:pt>
                <c:pt idx="86">
                  <c:v>107.46</c:v>
                </c:pt>
                <c:pt idx="87">
                  <c:v>99.37</c:v>
                </c:pt>
                <c:pt idx="88">
                  <c:v>108.27</c:v>
                </c:pt>
                <c:pt idx="89">
                  <c:v>126.37</c:v>
                </c:pt>
                <c:pt idx="90">
                  <c:v>104.06</c:v>
                </c:pt>
                <c:pt idx="91">
                  <c:v>98.42</c:v>
                </c:pt>
                <c:pt idx="92">
                  <c:v>98.97</c:v>
                </c:pt>
                <c:pt idx="93">
                  <c:v>97.37</c:v>
                </c:pt>
                <c:pt idx="94">
                  <c:v>97.18</c:v>
                </c:pt>
                <c:pt idx="95">
                  <c:v>95.98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B2-46FD-8253-C1A552831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86232"/>
        <c:axId val="230185840"/>
      </c:lineChart>
      <c:catAx>
        <c:axId val="23018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Market Time Unit (CET-15min)</a:t>
                </a:r>
              </a:p>
            </c:rich>
          </c:tx>
          <c:layout>
            <c:manualLayout>
              <c:xMode val="edge"/>
              <c:yMode val="edge"/>
              <c:x val="0.40611527485073184"/>
              <c:y val="0.95701479488327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448"/>
        <c:crosses val="autoZero"/>
        <c:auto val="1"/>
        <c:lblAlgn val="ctr"/>
        <c:lblOffset val="100"/>
        <c:tickLblSkip val="1"/>
        <c:noMultiLvlLbl val="0"/>
      </c:catAx>
      <c:valAx>
        <c:axId val="2301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Volume (MW)</a:t>
                </a:r>
              </a:p>
            </c:rich>
          </c:tx>
          <c:layout>
            <c:manualLayout>
              <c:xMode val="edge"/>
              <c:yMode val="edge"/>
              <c:x val="6.1164849755849376E-3"/>
              <c:y val="0.3847942530299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5056"/>
        <c:crosses val="autoZero"/>
        <c:crossBetween val="between"/>
      </c:valAx>
      <c:valAx>
        <c:axId val="230185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GR-MCP (</a:t>
                </a:r>
                <a:r>
                  <a:rPr lang="el-GR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€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Century Gothic" panose="020B0502020202020204" pitchFamily="34" charset="0"/>
                    <a:cs typeface="Arial" panose="020B0604020202020204" pitchFamily="34" charset="0"/>
                  </a:rPr>
                  <a:t>/MWh)</a:t>
                </a:r>
              </a:p>
            </c:rich>
          </c:tx>
          <c:layout>
            <c:manualLayout>
              <c:xMode val="edge"/>
              <c:yMode val="edge"/>
              <c:x val="0.96595699316536188"/>
              <c:y val="0.35805714236700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Century Gothic" panose="020B0502020202020204" pitchFamily="34" charset="0"/>
                  <a:ea typeface="+mn-ea"/>
                  <a:cs typeface="Arial" panose="020B0604020202020204" pitchFamily="34" charset="0"/>
                </a:defRPr>
              </a:pPr>
              <a:endParaRPr lang="el-GR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  <c:crossAx val="230186232"/>
        <c:crosses val="max"/>
        <c:crossBetween val="between"/>
      </c:valAx>
      <c:catAx>
        <c:axId val="230186232"/>
        <c:scaling>
          <c:orientation val="minMax"/>
        </c:scaling>
        <c:delete val="1"/>
        <c:axPos val="b"/>
        <c:numFmt formatCode="00" sourceLinked="1"/>
        <c:majorTickMark val="out"/>
        <c:minorTickMark val="none"/>
        <c:tickLblPos val="nextTo"/>
        <c:crossAx val="230185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entury Gothic" panose="020B0502020202020204" pitchFamily="34" charset="0"/>
                <a:ea typeface="+mn-ea"/>
                <a:cs typeface="Arial" panose="020B0604020202020204" pitchFamily="34" charset="0"/>
              </a:defRPr>
            </a:pPr>
            <a:endParaRPr lang="el-GR"/>
          </a:p>
        </c:txPr>
      </c:legendEntry>
      <c:layout>
        <c:manualLayout>
          <c:xMode val="edge"/>
          <c:yMode val="edge"/>
          <c:x val="5.6031024513082412E-3"/>
          <c:y val="1.7450176550173495E-2"/>
          <c:w val="0.98602425875699351"/>
          <c:h val="9.4862570903550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accent5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Arial" panose="020B0604020202020204" pitchFamily="34" charset="0"/>
            </a:defRPr>
          </a:pPr>
          <a:endParaRPr lang="el-G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20" workbookViewId="0"/>
  </sheetView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2"/>
  <sheetViews>
    <sheetView zoomScale="12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80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X53"/>
  <sheetViews>
    <sheetView showGridLines="0" tabSelected="1" zoomScale="60" zoomScaleNormal="60" workbookViewId="0">
      <pane xSplit="1" ySplit="3" topLeftCell="B4" activePane="bottomRight" state="frozen"/>
      <selection sqref="A1:XFD1048576"/>
      <selection pane="topRight" sqref="A1:XFD1048576"/>
      <selection pane="bottomLeft" sqref="A1:XFD1048576"/>
      <selection pane="bottomRight" activeCell="S11" sqref="S11"/>
    </sheetView>
  </sheetViews>
  <sheetFormatPr defaultColWidth="9.140625" defaultRowHeight="15.95" customHeight="1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54</v>
      </c>
      <c r="B1" s="2"/>
      <c r="C1" s="2" t="s">
        <v>0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9"/>
    </row>
    <row r="3" spans="1:102" ht="30" customHeight="1" thickBot="1" x14ac:dyDescent="0.25">
      <c r="A3" s="10">
        <v>46023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1</v>
      </c>
    </row>
    <row r="4" spans="1:102" ht="30" customHeight="1" thickBot="1" x14ac:dyDescent="0.25">
      <c r="A4" s="19" t="s">
        <v>2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6908.5379999999996</v>
      </c>
      <c r="C5" s="25">
        <v>6842.0559999999996</v>
      </c>
      <c r="D5" s="25">
        <v>6529.73</v>
      </c>
      <c r="E5" s="25">
        <v>6221.0029999999997</v>
      </c>
      <c r="F5" s="25">
        <v>6619.87</v>
      </c>
      <c r="G5" s="25">
        <v>6365.2910000000002</v>
      </c>
      <c r="H5" s="25">
        <v>6257.6769999999997</v>
      </c>
      <c r="I5" s="25">
        <v>6235.2039999999997</v>
      </c>
      <c r="J5" s="25">
        <v>6228.58</v>
      </c>
      <c r="K5" s="25">
        <v>5994.4120000000003</v>
      </c>
      <c r="L5" s="25">
        <v>5955.7619999999997</v>
      </c>
      <c r="M5" s="25">
        <v>5958.6850000000004</v>
      </c>
      <c r="N5" s="25">
        <v>5878.1809999999996</v>
      </c>
      <c r="O5" s="25">
        <v>5887.9350000000004</v>
      </c>
      <c r="P5" s="25">
        <v>5866.3739999999998</v>
      </c>
      <c r="Q5" s="25">
        <v>5850.9709999999995</v>
      </c>
      <c r="R5" s="25">
        <v>5802.1080000000002</v>
      </c>
      <c r="S5" s="25">
        <v>5796.942</v>
      </c>
      <c r="T5" s="25">
        <v>5809.8670000000002</v>
      </c>
      <c r="U5" s="25">
        <v>5832.7250000000004</v>
      </c>
      <c r="V5" s="25">
        <v>5873.7870000000003</v>
      </c>
      <c r="W5" s="25">
        <v>5905.4610000000002</v>
      </c>
      <c r="X5" s="25">
        <v>5951.884</v>
      </c>
      <c r="Y5" s="25">
        <v>6007.8329999999996</v>
      </c>
      <c r="Z5" s="25">
        <v>6113.1980000000003</v>
      </c>
      <c r="AA5" s="25">
        <v>6171.2139999999999</v>
      </c>
      <c r="AB5" s="25">
        <v>6244.402</v>
      </c>
      <c r="AC5" s="25">
        <v>6314.5659999999998</v>
      </c>
      <c r="AD5" s="25">
        <v>6464.4629999999997</v>
      </c>
      <c r="AE5" s="25">
        <v>6587.5829999999996</v>
      </c>
      <c r="AF5" s="25">
        <v>6718.7550000000001</v>
      </c>
      <c r="AG5" s="25">
        <v>6923.5559999999996</v>
      </c>
      <c r="AH5" s="25">
        <v>7169.0820000000003</v>
      </c>
      <c r="AI5" s="25">
        <v>7352.4769999999999</v>
      </c>
      <c r="AJ5" s="25">
        <v>7862.6409999999996</v>
      </c>
      <c r="AK5" s="25">
        <v>8247.1980000000003</v>
      </c>
      <c r="AL5" s="25">
        <v>8216.34</v>
      </c>
      <c r="AM5" s="25">
        <v>8419.4179999999997</v>
      </c>
      <c r="AN5" s="25">
        <v>8528.4539999999997</v>
      </c>
      <c r="AO5" s="25">
        <v>8750.6579999999994</v>
      </c>
      <c r="AP5" s="25">
        <v>8945.8960000000006</v>
      </c>
      <c r="AQ5" s="25">
        <v>9028.8169999999991</v>
      </c>
      <c r="AR5" s="25">
        <v>9126.52</v>
      </c>
      <c r="AS5" s="25">
        <v>9135.357</v>
      </c>
      <c r="AT5" s="25">
        <v>9104.0589999999993</v>
      </c>
      <c r="AU5" s="25">
        <v>9053.4459999999999</v>
      </c>
      <c r="AV5" s="25">
        <v>8976.1749999999993</v>
      </c>
      <c r="AW5" s="25">
        <v>8897.2350000000006</v>
      </c>
      <c r="AX5" s="25">
        <v>8817.116</v>
      </c>
      <c r="AY5" s="25">
        <v>8660.3029999999999</v>
      </c>
      <c r="AZ5" s="25">
        <v>8499.2620000000006</v>
      </c>
      <c r="BA5" s="25">
        <v>8298.7080000000005</v>
      </c>
      <c r="BB5" s="25">
        <v>8087.6790000000001</v>
      </c>
      <c r="BC5" s="25">
        <v>7886.8689999999997</v>
      </c>
      <c r="BD5" s="25">
        <v>7811.9269999999997</v>
      </c>
      <c r="BE5" s="25">
        <v>7747.4430000000002</v>
      </c>
      <c r="BF5" s="25">
        <v>7449.9650000000001</v>
      </c>
      <c r="BG5" s="25">
        <v>7405.3109999999997</v>
      </c>
      <c r="BH5" s="25">
        <v>7373.4949999999999</v>
      </c>
      <c r="BI5" s="25">
        <v>7300.4229999999998</v>
      </c>
      <c r="BJ5" s="25">
        <v>7340.7219999999998</v>
      </c>
      <c r="BK5" s="25">
        <v>7371.0020000000004</v>
      </c>
      <c r="BL5" s="25">
        <v>7430.8249999999998</v>
      </c>
      <c r="BM5" s="25">
        <v>7418.951</v>
      </c>
      <c r="BN5" s="25">
        <v>7141.73</v>
      </c>
      <c r="BO5" s="25">
        <v>7270.2790000000005</v>
      </c>
      <c r="BP5" s="25">
        <v>7422.2910000000002</v>
      </c>
      <c r="BQ5" s="25">
        <v>7553.8680000000004</v>
      </c>
      <c r="BR5" s="25">
        <v>7741.759</v>
      </c>
      <c r="BS5" s="25">
        <v>7834.9650000000001</v>
      </c>
      <c r="BT5" s="25">
        <v>7899.9269999999997</v>
      </c>
      <c r="BU5" s="25">
        <v>7930.6930000000002</v>
      </c>
      <c r="BV5" s="25">
        <v>7900.24</v>
      </c>
      <c r="BW5" s="25">
        <v>7905.7120000000004</v>
      </c>
      <c r="BX5" s="25">
        <v>7949.3090000000002</v>
      </c>
      <c r="BY5" s="25">
        <v>7947.9679999999998</v>
      </c>
      <c r="BZ5" s="25">
        <v>7904.2479999999996</v>
      </c>
      <c r="CA5" s="25">
        <v>7888.6149999999998</v>
      </c>
      <c r="CB5" s="25">
        <v>7815.8609999999999</v>
      </c>
      <c r="CC5" s="25">
        <v>7697.2820000000002</v>
      </c>
      <c r="CD5" s="25">
        <v>7645.076</v>
      </c>
      <c r="CE5" s="25">
        <v>7573.1130000000003</v>
      </c>
      <c r="CF5" s="25">
        <v>7494.0990000000002</v>
      </c>
      <c r="CG5" s="25">
        <v>7454.0360000000001</v>
      </c>
      <c r="CH5" s="25">
        <v>7316.7070000000003</v>
      </c>
      <c r="CI5" s="25">
        <v>7242.1130000000003</v>
      </c>
      <c r="CJ5" s="25">
        <v>7209.3760000000002</v>
      </c>
      <c r="CK5" s="25">
        <v>7137.277</v>
      </c>
      <c r="CL5" s="25">
        <v>6982.1059999999998</v>
      </c>
      <c r="CM5" s="25">
        <v>6811.7790000000005</v>
      </c>
      <c r="CN5" s="25">
        <v>6778.8909999999996</v>
      </c>
      <c r="CO5" s="25">
        <v>6655.0730000000003</v>
      </c>
      <c r="CP5" s="25">
        <v>6927.4560000000001</v>
      </c>
      <c r="CQ5" s="25">
        <v>6778.3280000000004</v>
      </c>
      <c r="CR5" s="25">
        <v>6643.8559999999998</v>
      </c>
      <c r="CS5" s="25">
        <v>6517.28</v>
      </c>
      <c r="CT5" s="26"/>
      <c r="CU5" s="26"/>
      <c r="CV5" s="26"/>
      <c r="CW5" s="27"/>
      <c r="CX5" s="28">
        <f t="array" ref="CX5">SUMPRODUCT(B5:CW5*0.25)</f>
        <v>174200.9250000001</v>
      </c>
    </row>
    <row r="6" spans="1:102" ht="24.95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2" ht="24.95" customHeight="1" x14ac:dyDescent="0.2">
      <c r="A8" s="35" t="s">
        <v>5</v>
      </c>
      <c r="B8" s="36">
        <v>104.05</v>
      </c>
      <c r="C8" s="37">
        <v>98.71</v>
      </c>
      <c r="D8" s="37">
        <v>97.98</v>
      </c>
      <c r="E8" s="37">
        <v>91.66</v>
      </c>
      <c r="F8" s="37">
        <v>99.07</v>
      </c>
      <c r="G8" s="37">
        <v>97.24</v>
      </c>
      <c r="H8" s="37">
        <v>93.14</v>
      </c>
      <c r="I8" s="37">
        <v>86.33</v>
      </c>
      <c r="J8" s="37">
        <v>97.5</v>
      </c>
      <c r="K8" s="37">
        <v>89.43</v>
      </c>
      <c r="L8" s="37">
        <v>86.3</v>
      </c>
      <c r="M8" s="37">
        <v>79</v>
      </c>
      <c r="N8" s="37">
        <v>82.61</v>
      </c>
      <c r="O8" s="37">
        <v>77.77</v>
      </c>
      <c r="P8" s="37">
        <v>74.94</v>
      </c>
      <c r="Q8" s="37">
        <v>76.650000000000006</v>
      </c>
      <c r="R8" s="37">
        <v>69.45</v>
      </c>
      <c r="S8" s="37">
        <v>70.319999999999993</v>
      </c>
      <c r="T8" s="37">
        <v>74.25</v>
      </c>
      <c r="U8" s="37">
        <v>74.25</v>
      </c>
      <c r="V8" s="37">
        <v>52.34</v>
      </c>
      <c r="W8" s="37">
        <v>73.180000000000007</v>
      </c>
      <c r="X8" s="37">
        <v>75.349999999999994</v>
      </c>
      <c r="Y8" s="37">
        <v>80.209999999999994</v>
      </c>
      <c r="Z8" s="37">
        <v>75.59</v>
      </c>
      <c r="AA8" s="37">
        <v>80.36</v>
      </c>
      <c r="AB8" s="37">
        <v>83.01</v>
      </c>
      <c r="AC8" s="37">
        <v>85.99</v>
      </c>
      <c r="AD8" s="37">
        <v>83.71</v>
      </c>
      <c r="AE8" s="37">
        <v>75.27</v>
      </c>
      <c r="AF8" s="37">
        <v>61.11</v>
      </c>
      <c r="AG8" s="37">
        <v>48.81</v>
      </c>
      <c r="AH8" s="37">
        <v>48.15</v>
      </c>
      <c r="AI8" s="37">
        <v>43.09</v>
      </c>
      <c r="AJ8" s="37">
        <v>43.11</v>
      </c>
      <c r="AK8" s="37">
        <v>37.409999999999997</v>
      </c>
      <c r="AL8" s="37">
        <v>51.02</v>
      </c>
      <c r="AM8" s="37">
        <v>46.16</v>
      </c>
      <c r="AN8" s="37">
        <v>29.95</v>
      </c>
      <c r="AO8" s="37">
        <v>10.25</v>
      </c>
      <c r="AP8" s="37">
        <v>15.1</v>
      </c>
      <c r="AQ8" s="37">
        <v>24.85</v>
      </c>
      <c r="AR8" s="37">
        <v>22.27</v>
      </c>
      <c r="AS8" s="37">
        <v>10.23</v>
      </c>
      <c r="AT8" s="37">
        <v>39.44</v>
      </c>
      <c r="AU8" s="37">
        <v>21.09</v>
      </c>
      <c r="AV8" s="37">
        <v>25.17</v>
      </c>
      <c r="AW8" s="37">
        <v>20.28</v>
      </c>
      <c r="AX8" s="37">
        <v>22.48</v>
      </c>
      <c r="AY8" s="37">
        <v>26.06</v>
      </c>
      <c r="AZ8" s="37">
        <v>29.66</v>
      </c>
      <c r="BA8" s="37">
        <v>34.630000000000003</v>
      </c>
      <c r="BB8" s="37">
        <v>40.01</v>
      </c>
      <c r="BC8" s="37">
        <v>40</v>
      </c>
      <c r="BD8" s="37">
        <v>31.94</v>
      </c>
      <c r="BE8" s="37">
        <v>32.96</v>
      </c>
      <c r="BF8" s="37">
        <v>38.99</v>
      </c>
      <c r="BG8" s="37">
        <v>54.88</v>
      </c>
      <c r="BH8" s="37">
        <v>54.69</v>
      </c>
      <c r="BI8" s="37">
        <v>80.27</v>
      </c>
      <c r="BJ8" s="37">
        <v>81.010000000000005</v>
      </c>
      <c r="BK8" s="37">
        <v>86.08</v>
      </c>
      <c r="BL8" s="37">
        <v>104.05</v>
      </c>
      <c r="BM8" s="37">
        <v>132.24</v>
      </c>
      <c r="BN8" s="37">
        <v>108.78</v>
      </c>
      <c r="BO8" s="37">
        <v>110.89</v>
      </c>
      <c r="BP8" s="37">
        <v>123.08</v>
      </c>
      <c r="BQ8" s="37">
        <v>103.07</v>
      </c>
      <c r="BR8" s="37">
        <v>125.05</v>
      </c>
      <c r="BS8" s="37">
        <v>123.57</v>
      </c>
      <c r="BT8" s="37">
        <v>109.46</v>
      </c>
      <c r="BU8" s="37">
        <v>121.92</v>
      </c>
      <c r="BV8" s="37">
        <v>126.87</v>
      </c>
      <c r="BW8" s="37">
        <v>127.54</v>
      </c>
      <c r="BX8" s="37">
        <v>118.71</v>
      </c>
      <c r="BY8" s="37">
        <v>108.15</v>
      </c>
      <c r="BZ8" s="37">
        <v>106.36</v>
      </c>
      <c r="CA8" s="37">
        <v>105.64</v>
      </c>
      <c r="CB8" s="37">
        <v>129.18</v>
      </c>
      <c r="CC8" s="37">
        <v>140.47</v>
      </c>
      <c r="CD8" s="37">
        <v>127.85</v>
      </c>
      <c r="CE8" s="37">
        <v>125.38</v>
      </c>
      <c r="CF8" s="37">
        <v>120.18</v>
      </c>
      <c r="CG8" s="37">
        <v>104.05</v>
      </c>
      <c r="CH8" s="37">
        <v>127.9</v>
      </c>
      <c r="CI8" s="37">
        <v>125.27</v>
      </c>
      <c r="CJ8" s="37">
        <v>107.46</v>
      </c>
      <c r="CK8" s="37">
        <v>99.37</v>
      </c>
      <c r="CL8" s="37">
        <v>108.27</v>
      </c>
      <c r="CM8" s="37">
        <v>126.37</v>
      </c>
      <c r="CN8" s="37">
        <v>104.06</v>
      </c>
      <c r="CO8" s="37">
        <v>98.42</v>
      </c>
      <c r="CP8" s="37">
        <v>98.97</v>
      </c>
      <c r="CQ8" s="37">
        <v>97.37</v>
      </c>
      <c r="CR8" s="37">
        <v>97.18</v>
      </c>
      <c r="CS8" s="37">
        <v>95.98</v>
      </c>
      <c r="CT8" s="38"/>
      <c r="CU8" s="38"/>
      <c r="CV8" s="38"/>
      <c r="CW8" s="39"/>
      <c r="CX8" s="40">
        <f>IF(SUM(B8:CW8)&lt;&gt;0,AVERAGEIF(B8:CW8,"&lt;&gt;"""),"")</f>
        <v>79.436666666666682</v>
      </c>
    </row>
    <row r="9" spans="1:102" ht="24.95" customHeight="1" thickBot="1" x14ac:dyDescent="0.25">
      <c r="A9" s="41" t="s">
        <v>6</v>
      </c>
      <c r="B9" s="42">
        <v>98.1</v>
      </c>
      <c r="C9" s="43">
        <v>98.1</v>
      </c>
      <c r="D9" s="43">
        <v>98.1</v>
      </c>
      <c r="E9" s="43">
        <v>98.1</v>
      </c>
      <c r="F9" s="43">
        <v>93.944999999999993</v>
      </c>
      <c r="G9" s="43">
        <v>93.944999999999993</v>
      </c>
      <c r="H9" s="43">
        <v>93.944999999999993</v>
      </c>
      <c r="I9" s="43">
        <v>93.944999999999993</v>
      </c>
      <c r="J9" s="43">
        <v>88.057500000000005</v>
      </c>
      <c r="K9" s="43">
        <v>88.057500000000005</v>
      </c>
      <c r="L9" s="43">
        <v>88.057500000000005</v>
      </c>
      <c r="M9" s="43">
        <v>88.057500000000005</v>
      </c>
      <c r="N9" s="43">
        <v>77.992500000000007</v>
      </c>
      <c r="O9" s="43">
        <v>77.992500000000007</v>
      </c>
      <c r="P9" s="43">
        <v>77.992500000000007</v>
      </c>
      <c r="Q9" s="43">
        <v>77.992500000000007</v>
      </c>
      <c r="R9" s="43">
        <v>72.067499999999995</v>
      </c>
      <c r="S9" s="43">
        <v>72.067499999999995</v>
      </c>
      <c r="T9" s="43">
        <v>72.067499999999995</v>
      </c>
      <c r="U9" s="43">
        <v>72.067499999999995</v>
      </c>
      <c r="V9" s="43">
        <v>70.27</v>
      </c>
      <c r="W9" s="43">
        <v>70.27</v>
      </c>
      <c r="X9" s="43">
        <v>70.27</v>
      </c>
      <c r="Y9" s="43">
        <v>70.27</v>
      </c>
      <c r="Z9" s="43">
        <v>81.237499999999997</v>
      </c>
      <c r="AA9" s="43">
        <v>81.237499999999997</v>
      </c>
      <c r="AB9" s="43">
        <v>81.237499999999997</v>
      </c>
      <c r="AC9" s="43">
        <v>81.237499999999997</v>
      </c>
      <c r="AD9" s="43">
        <v>67.224999999999994</v>
      </c>
      <c r="AE9" s="43">
        <v>67.224999999999994</v>
      </c>
      <c r="AF9" s="43">
        <v>67.224999999999994</v>
      </c>
      <c r="AG9" s="43">
        <v>67.224999999999994</v>
      </c>
      <c r="AH9" s="43">
        <v>42.94</v>
      </c>
      <c r="AI9" s="43">
        <v>42.94</v>
      </c>
      <c r="AJ9" s="43">
        <v>42.94</v>
      </c>
      <c r="AK9" s="43">
        <v>42.94</v>
      </c>
      <c r="AL9" s="43">
        <v>34.344999999999999</v>
      </c>
      <c r="AM9" s="43">
        <v>34.344999999999999</v>
      </c>
      <c r="AN9" s="43">
        <v>34.344999999999999</v>
      </c>
      <c r="AO9" s="43">
        <v>34.344999999999999</v>
      </c>
      <c r="AP9" s="43">
        <v>18.112500000000001</v>
      </c>
      <c r="AQ9" s="43">
        <v>18.112500000000001</v>
      </c>
      <c r="AR9" s="43">
        <v>18.112500000000001</v>
      </c>
      <c r="AS9" s="43">
        <v>18.112500000000001</v>
      </c>
      <c r="AT9" s="43">
        <v>26.495000000000001</v>
      </c>
      <c r="AU9" s="43">
        <v>26.495000000000001</v>
      </c>
      <c r="AV9" s="43">
        <v>26.495000000000001</v>
      </c>
      <c r="AW9" s="43">
        <v>26.495000000000001</v>
      </c>
      <c r="AX9" s="43">
        <v>28.2075</v>
      </c>
      <c r="AY9" s="43">
        <v>28.2075</v>
      </c>
      <c r="AZ9" s="43">
        <v>28.2075</v>
      </c>
      <c r="BA9" s="43">
        <v>28.2075</v>
      </c>
      <c r="BB9" s="43">
        <v>36.227499999999999</v>
      </c>
      <c r="BC9" s="43">
        <v>36.227499999999999</v>
      </c>
      <c r="BD9" s="43">
        <v>36.227499999999999</v>
      </c>
      <c r="BE9" s="43">
        <v>36.227499999999999</v>
      </c>
      <c r="BF9" s="43">
        <v>57.207500000000003</v>
      </c>
      <c r="BG9" s="43">
        <v>57.207500000000003</v>
      </c>
      <c r="BH9" s="43">
        <v>57.207500000000003</v>
      </c>
      <c r="BI9" s="43">
        <v>57.207500000000003</v>
      </c>
      <c r="BJ9" s="43">
        <v>100.845</v>
      </c>
      <c r="BK9" s="43">
        <v>100.845</v>
      </c>
      <c r="BL9" s="43">
        <v>100.845</v>
      </c>
      <c r="BM9" s="43">
        <v>100.845</v>
      </c>
      <c r="BN9" s="43">
        <v>111.455</v>
      </c>
      <c r="BO9" s="43">
        <v>111.455</v>
      </c>
      <c r="BP9" s="43">
        <v>111.455</v>
      </c>
      <c r="BQ9" s="43">
        <v>111.455</v>
      </c>
      <c r="BR9" s="43">
        <v>120</v>
      </c>
      <c r="BS9" s="43">
        <v>120</v>
      </c>
      <c r="BT9" s="43">
        <v>120</v>
      </c>
      <c r="BU9" s="43">
        <v>120</v>
      </c>
      <c r="BV9" s="43">
        <v>120.3175</v>
      </c>
      <c r="BW9" s="43">
        <v>120.3175</v>
      </c>
      <c r="BX9" s="43">
        <v>120.3175</v>
      </c>
      <c r="BY9" s="43">
        <v>120.3175</v>
      </c>
      <c r="BZ9" s="43">
        <v>120.41249999999999</v>
      </c>
      <c r="CA9" s="43">
        <v>120.41249999999999</v>
      </c>
      <c r="CB9" s="43">
        <v>120.41249999999999</v>
      </c>
      <c r="CC9" s="43">
        <v>120.41249999999999</v>
      </c>
      <c r="CD9" s="43">
        <v>119.36499999999999</v>
      </c>
      <c r="CE9" s="43">
        <v>119.36499999999999</v>
      </c>
      <c r="CF9" s="43">
        <v>119.36499999999999</v>
      </c>
      <c r="CG9" s="43">
        <v>119.36499999999999</v>
      </c>
      <c r="CH9" s="43">
        <v>115</v>
      </c>
      <c r="CI9" s="43">
        <v>115</v>
      </c>
      <c r="CJ9" s="43">
        <v>115</v>
      </c>
      <c r="CK9" s="43">
        <v>115</v>
      </c>
      <c r="CL9" s="43">
        <v>109.28</v>
      </c>
      <c r="CM9" s="43">
        <v>109.28</v>
      </c>
      <c r="CN9" s="43">
        <v>109.28</v>
      </c>
      <c r="CO9" s="43">
        <v>109.28</v>
      </c>
      <c r="CP9" s="43">
        <v>97.375</v>
      </c>
      <c r="CQ9" s="43">
        <v>97.375</v>
      </c>
      <c r="CR9" s="43">
        <v>97.375</v>
      </c>
      <c r="CS9" s="43">
        <v>97.375</v>
      </c>
      <c r="CT9" s="44"/>
      <c r="CU9" s="44"/>
      <c r="CV9" s="44"/>
      <c r="CW9" s="45"/>
      <c r="CX9" s="46">
        <f>IF(SUM(B9:CW9)&lt;&gt;0,AVERAGEIF(B9:CW9,"&lt;&gt;"""),"")</f>
        <v>79.436666666666653</v>
      </c>
    </row>
    <row r="10" spans="1:102" ht="30" customHeight="1" thickBot="1" x14ac:dyDescent="0.25">
      <c r="A10" s="47" t="s">
        <v>7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50"/>
      <c r="CX10" s="18" t="s">
        <v>1</v>
      </c>
    </row>
    <row r="11" spans="1:102" ht="24.95" customHeight="1" x14ac:dyDescent="0.2">
      <c r="A11" s="51" t="s">
        <v>8</v>
      </c>
      <c r="B11" s="52">
        <v>375</v>
      </c>
      <c r="C11" s="53">
        <v>375</v>
      </c>
      <c r="D11" s="53">
        <v>375</v>
      </c>
      <c r="E11" s="53">
        <v>375</v>
      </c>
      <c r="F11" s="53">
        <v>377</v>
      </c>
      <c r="G11" s="53">
        <v>377</v>
      </c>
      <c r="H11" s="53">
        <v>377</v>
      </c>
      <c r="I11" s="53">
        <v>377</v>
      </c>
      <c r="J11" s="53">
        <v>375</v>
      </c>
      <c r="K11" s="53">
        <v>375</v>
      </c>
      <c r="L11" s="53">
        <v>375</v>
      </c>
      <c r="M11" s="53">
        <v>375</v>
      </c>
      <c r="N11" s="53">
        <v>380</v>
      </c>
      <c r="O11" s="53">
        <v>380</v>
      </c>
      <c r="P11" s="53">
        <v>380</v>
      </c>
      <c r="Q11" s="53">
        <v>380</v>
      </c>
      <c r="R11" s="53">
        <v>382</v>
      </c>
      <c r="S11" s="53">
        <v>382</v>
      </c>
      <c r="T11" s="53">
        <v>382</v>
      </c>
      <c r="U11" s="53">
        <v>382</v>
      </c>
      <c r="V11" s="53">
        <v>387</v>
      </c>
      <c r="W11" s="53">
        <v>387</v>
      </c>
      <c r="X11" s="53">
        <v>387</v>
      </c>
      <c r="Y11" s="53">
        <v>387</v>
      </c>
      <c r="Z11" s="53">
        <v>405</v>
      </c>
      <c r="AA11" s="53">
        <v>405</v>
      </c>
      <c r="AB11" s="53">
        <v>405</v>
      </c>
      <c r="AC11" s="53">
        <v>405</v>
      </c>
      <c r="AD11" s="53">
        <v>412</v>
      </c>
      <c r="AE11" s="53">
        <v>412</v>
      </c>
      <c r="AF11" s="53">
        <v>412</v>
      </c>
      <c r="AG11" s="53">
        <v>412</v>
      </c>
      <c r="AH11" s="53">
        <v>403</v>
      </c>
      <c r="AI11" s="53">
        <v>403</v>
      </c>
      <c r="AJ11" s="53">
        <v>403</v>
      </c>
      <c r="AK11" s="53">
        <v>403</v>
      </c>
      <c r="AL11" s="53">
        <v>404</v>
      </c>
      <c r="AM11" s="53">
        <v>404</v>
      </c>
      <c r="AN11" s="53">
        <v>404</v>
      </c>
      <c r="AO11" s="53">
        <v>404</v>
      </c>
      <c r="AP11" s="53">
        <v>406</v>
      </c>
      <c r="AQ11" s="53">
        <v>406</v>
      </c>
      <c r="AR11" s="53">
        <v>406</v>
      </c>
      <c r="AS11" s="53">
        <v>406</v>
      </c>
      <c r="AT11" s="53">
        <v>394</v>
      </c>
      <c r="AU11" s="53">
        <v>394</v>
      </c>
      <c r="AV11" s="53">
        <v>394</v>
      </c>
      <c r="AW11" s="53">
        <v>394</v>
      </c>
      <c r="AX11" s="53">
        <v>395</v>
      </c>
      <c r="AY11" s="53">
        <v>395</v>
      </c>
      <c r="AZ11" s="53">
        <v>395</v>
      </c>
      <c r="BA11" s="53">
        <v>395</v>
      </c>
      <c r="BB11" s="53">
        <v>391</v>
      </c>
      <c r="BC11" s="53">
        <v>391</v>
      </c>
      <c r="BD11" s="53">
        <v>391</v>
      </c>
      <c r="BE11" s="53">
        <v>391</v>
      </c>
      <c r="BF11" s="53">
        <v>398</v>
      </c>
      <c r="BG11" s="53">
        <v>398</v>
      </c>
      <c r="BH11" s="53">
        <v>398</v>
      </c>
      <c r="BI11" s="53">
        <v>398</v>
      </c>
      <c r="BJ11" s="53">
        <v>435</v>
      </c>
      <c r="BK11" s="53">
        <v>435</v>
      </c>
      <c r="BL11" s="53">
        <v>435</v>
      </c>
      <c r="BM11" s="53">
        <v>435</v>
      </c>
      <c r="BN11" s="53">
        <v>414</v>
      </c>
      <c r="BO11" s="53">
        <v>414</v>
      </c>
      <c r="BP11" s="53">
        <v>414</v>
      </c>
      <c r="BQ11" s="53">
        <v>414</v>
      </c>
      <c r="BR11" s="53">
        <v>416</v>
      </c>
      <c r="BS11" s="53">
        <v>416</v>
      </c>
      <c r="BT11" s="53">
        <v>416</v>
      </c>
      <c r="BU11" s="53">
        <v>416</v>
      </c>
      <c r="BV11" s="53">
        <v>395</v>
      </c>
      <c r="BW11" s="53">
        <v>395</v>
      </c>
      <c r="BX11" s="53">
        <v>395</v>
      </c>
      <c r="BY11" s="53">
        <v>395</v>
      </c>
      <c r="BZ11" s="53">
        <v>407</v>
      </c>
      <c r="CA11" s="53">
        <v>407</v>
      </c>
      <c r="CB11" s="53">
        <v>407</v>
      </c>
      <c r="CC11" s="53">
        <v>407</v>
      </c>
      <c r="CD11" s="53">
        <v>395</v>
      </c>
      <c r="CE11" s="53">
        <v>395</v>
      </c>
      <c r="CF11" s="53">
        <v>395</v>
      </c>
      <c r="CG11" s="53">
        <v>395</v>
      </c>
      <c r="CH11" s="53">
        <v>387</v>
      </c>
      <c r="CI11" s="53">
        <v>387</v>
      </c>
      <c r="CJ11" s="53">
        <v>387</v>
      </c>
      <c r="CK11" s="53">
        <v>387</v>
      </c>
      <c r="CL11" s="53">
        <v>384</v>
      </c>
      <c r="CM11" s="53">
        <v>384</v>
      </c>
      <c r="CN11" s="53">
        <v>384</v>
      </c>
      <c r="CO11" s="53">
        <v>384</v>
      </c>
      <c r="CP11" s="53">
        <v>370</v>
      </c>
      <c r="CQ11" s="53">
        <v>370</v>
      </c>
      <c r="CR11" s="53">
        <v>370</v>
      </c>
      <c r="CS11" s="53">
        <v>370</v>
      </c>
      <c r="CT11" s="54"/>
      <c r="CU11" s="54"/>
      <c r="CV11" s="54"/>
      <c r="CW11" s="55"/>
      <c r="CX11" s="56">
        <f t="array" ref="CX11">SUMPRODUCT(B11:CW11*0.25)</f>
        <v>9487</v>
      </c>
    </row>
    <row r="12" spans="1:102" ht="24.95" customHeight="1" x14ac:dyDescent="0.2">
      <c r="A12" s="57" t="s">
        <v>9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60"/>
      <c r="CU12" s="60"/>
      <c r="CV12" s="60"/>
      <c r="CW12" s="61"/>
      <c r="CX12" s="62">
        <f t="array" ref="CX12">SUMPRODUCT(B12:CW12*0.25)</f>
        <v>0</v>
      </c>
    </row>
    <row r="13" spans="1:102" ht="24.95" customHeight="1" x14ac:dyDescent="0.2">
      <c r="A13" s="63" t="s">
        <v>10</v>
      </c>
      <c r="B13" s="64">
        <v>3868.6889999999999</v>
      </c>
      <c r="C13" s="65">
        <v>3761.5529999999999</v>
      </c>
      <c r="D13" s="65">
        <v>3411.69</v>
      </c>
      <c r="E13" s="65">
        <v>3075.84</v>
      </c>
      <c r="F13" s="65">
        <v>3401.0419999999995</v>
      </c>
      <c r="G13" s="65">
        <v>3112.5360000000001</v>
      </c>
      <c r="H13" s="65">
        <v>2984.942</v>
      </c>
      <c r="I13" s="65">
        <v>2928.5860000000002</v>
      </c>
      <c r="J13" s="65">
        <v>2895.5040000000004</v>
      </c>
      <c r="K13" s="65">
        <v>2645.6880000000001</v>
      </c>
      <c r="L13" s="65">
        <v>2508.8610000000003</v>
      </c>
      <c r="M13" s="65">
        <v>2201.6770000000001</v>
      </c>
      <c r="N13" s="65">
        <v>2428.8510000000001</v>
      </c>
      <c r="O13" s="65">
        <v>2195.3620000000001</v>
      </c>
      <c r="P13" s="65">
        <v>2084.16</v>
      </c>
      <c r="Q13" s="65">
        <v>2151.3020000000001</v>
      </c>
      <c r="R13" s="65">
        <v>1831.9</v>
      </c>
      <c r="S13" s="65">
        <v>1835.8940000000002</v>
      </c>
      <c r="T13" s="65">
        <v>1921.2070000000001</v>
      </c>
      <c r="U13" s="65">
        <v>1921.212</v>
      </c>
      <c r="V13" s="65">
        <v>1831.9</v>
      </c>
      <c r="W13" s="65">
        <v>1850.15</v>
      </c>
      <c r="X13" s="65">
        <v>1995.1320000000001</v>
      </c>
      <c r="Y13" s="65">
        <v>2179.0210000000002</v>
      </c>
      <c r="Z13" s="65">
        <v>1761.5830000000001</v>
      </c>
      <c r="AA13" s="65">
        <v>1935.8650000000002</v>
      </c>
      <c r="AB13" s="65">
        <v>2068.3150000000001</v>
      </c>
      <c r="AC13" s="65">
        <v>2202.3040000000001</v>
      </c>
      <c r="AD13" s="65">
        <v>2102.9720000000002</v>
      </c>
      <c r="AE13" s="65">
        <v>1740.7250000000001</v>
      </c>
      <c r="AF13" s="65">
        <v>1582.9</v>
      </c>
      <c r="AG13" s="65">
        <v>1582.9</v>
      </c>
      <c r="AH13" s="65">
        <v>1448.9</v>
      </c>
      <c r="AI13" s="65">
        <v>1448.9</v>
      </c>
      <c r="AJ13" s="65">
        <v>1448.9</v>
      </c>
      <c r="AK13" s="65">
        <v>1379.9</v>
      </c>
      <c r="AL13" s="65">
        <v>1024.9000000000001</v>
      </c>
      <c r="AM13" s="65">
        <v>900.73299999999995</v>
      </c>
      <c r="AN13" s="65">
        <v>776.56700000000001</v>
      </c>
      <c r="AO13" s="65">
        <v>719.9</v>
      </c>
      <c r="AP13" s="65">
        <v>719.9</v>
      </c>
      <c r="AQ13" s="65">
        <v>719.9</v>
      </c>
      <c r="AR13" s="65">
        <v>719.9</v>
      </c>
      <c r="AS13" s="65">
        <v>719.9</v>
      </c>
      <c r="AT13" s="65">
        <v>719.9</v>
      </c>
      <c r="AU13" s="65">
        <v>719.9</v>
      </c>
      <c r="AV13" s="65">
        <v>719.9</v>
      </c>
      <c r="AW13" s="65">
        <v>719.9</v>
      </c>
      <c r="AX13" s="65">
        <v>719.9</v>
      </c>
      <c r="AY13" s="65">
        <v>719.9</v>
      </c>
      <c r="AZ13" s="65">
        <v>719.9</v>
      </c>
      <c r="BA13" s="65">
        <v>719.9</v>
      </c>
      <c r="BB13" s="65">
        <v>804.9</v>
      </c>
      <c r="BC13" s="65">
        <v>879.9</v>
      </c>
      <c r="BD13" s="65">
        <v>1149.9000000000001</v>
      </c>
      <c r="BE13" s="65">
        <v>1234.9000000000001</v>
      </c>
      <c r="BF13" s="65">
        <v>1474.9</v>
      </c>
      <c r="BG13" s="65">
        <v>1618.9</v>
      </c>
      <c r="BH13" s="65">
        <v>1693.9</v>
      </c>
      <c r="BI13" s="65">
        <v>2020.7900000000002</v>
      </c>
      <c r="BJ13" s="65">
        <v>2242.8119999999999</v>
      </c>
      <c r="BK13" s="65">
        <v>2705.8310000000001</v>
      </c>
      <c r="BL13" s="65">
        <v>3361.4540000000002</v>
      </c>
      <c r="BM13" s="65">
        <v>3879.6089999999999</v>
      </c>
      <c r="BN13" s="65">
        <v>3692.4409999999998</v>
      </c>
      <c r="BO13" s="65">
        <v>3705.904</v>
      </c>
      <c r="BP13" s="65">
        <v>3740.502</v>
      </c>
      <c r="BQ13" s="65">
        <v>3615.2150000000001</v>
      </c>
      <c r="BR13" s="65">
        <v>3755.5540000000001</v>
      </c>
      <c r="BS13" s="65">
        <v>3744.3829999999998</v>
      </c>
      <c r="BT13" s="65">
        <v>3699.652</v>
      </c>
      <c r="BU13" s="65">
        <v>3732.2750000000001</v>
      </c>
      <c r="BV13" s="65">
        <v>3781.6980000000003</v>
      </c>
      <c r="BW13" s="65">
        <v>3791.1190000000001</v>
      </c>
      <c r="BX13" s="65">
        <v>3716.9549999999999</v>
      </c>
      <c r="BY13" s="65">
        <v>3685.989</v>
      </c>
      <c r="BZ13" s="65">
        <v>3667.4539999999997</v>
      </c>
      <c r="CA13" s="65">
        <v>3658.9090000000001</v>
      </c>
      <c r="CB13" s="65">
        <v>3816.2579999999998</v>
      </c>
      <c r="CC13" s="65">
        <v>3925.4790000000003</v>
      </c>
      <c r="CD13" s="65">
        <v>3807.9199999999996</v>
      </c>
      <c r="CE13" s="65">
        <v>3771.7080000000001</v>
      </c>
      <c r="CF13" s="65">
        <v>3728.239</v>
      </c>
      <c r="CG13" s="65">
        <v>3687.453</v>
      </c>
      <c r="CH13" s="65">
        <v>3808.8509999999997</v>
      </c>
      <c r="CI13" s="65">
        <v>3771.2530000000002</v>
      </c>
      <c r="CJ13" s="65">
        <v>3712.79</v>
      </c>
      <c r="CK13" s="65">
        <v>3650.9079999999999</v>
      </c>
      <c r="CL13" s="65">
        <v>3727.913</v>
      </c>
      <c r="CM13" s="65">
        <v>3813.3710000000001</v>
      </c>
      <c r="CN13" s="65">
        <v>3719.1379999999999</v>
      </c>
      <c r="CO13" s="65">
        <v>3637.018</v>
      </c>
      <c r="CP13" s="65">
        <v>3655.8090000000002</v>
      </c>
      <c r="CQ13" s="65">
        <v>3479.7540000000004</v>
      </c>
      <c r="CR13" s="65">
        <v>3435.7779999999998</v>
      </c>
      <c r="CS13" s="65">
        <v>3278.2559999999999</v>
      </c>
      <c r="CT13" s="66"/>
      <c r="CU13" s="66"/>
      <c r="CV13" s="66"/>
      <c r="CW13" s="67"/>
      <c r="CX13" s="68">
        <f t="array" ref="CX13">SUMPRODUCT(B13:CW13*0.25)</f>
        <v>58817.876249999972</v>
      </c>
    </row>
    <row r="14" spans="1:102" ht="24.95" customHeight="1" x14ac:dyDescent="0.2">
      <c r="A14" s="63" t="s">
        <v>11</v>
      </c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>
        <v>26</v>
      </c>
      <c r="W14" s="65">
        <v>26</v>
      </c>
      <c r="X14" s="65">
        <v>26</v>
      </c>
      <c r="Y14" s="65">
        <v>26</v>
      </c>
      <c r="Z14" s="65">
        <v>26</v>
      </c>
      <c r="AA14" s="65">
        <v>26</v>
      </c>
      <c r="AB14" s="65">
        <v>26</v>
      </c>
      <c r="AC14" s="65">
        <v>26</v>
      </c>
      <c r="AD14" s="65">
        <v>118</v>
      </c>
      <c r="AE14" s="65">
        <v>118</v>
      </c>
      <c r="AF14" s="65">
        <v>118</v>
      </c>
      <c r="AG14" s="65">
        <v>118</v>
      </c>
      <c r="AH14" s="65">
        <v>88</v>
      </c>
      <c r="AI14" s="65">
        <v>88</v>
      </c>
      <c r="AJ14" s="65">
        <v>88</v>
      </c>
      <c r="AK14" s="65">
        <v>88</v>
      </c>
      <c r="AL14" s="65">
        <v>26</v>
      </c>
      <c r="AM14" s="65">
        <v>26</v>
      </c>
      <c r="AN14" s="65">
        <v>26</v>
      </c>
      <c r="AO14" s="65">
        <v>26</v>
      </c>
      <c r="AP14" s="65">
        <v>26</v>
      </c>
      <c r="AQ14" s="65">
        <v>26</v>
      </c>
      <c r="AR14" s="65">
        <v>26</v>
      </c>
      <c r="AS14" s="65">
        <v>26</v>
      </c>
      <c r="AT14" s="65"/>
      <c r="AU14" s="65"/>
      <c r="AV14" s="65"/>
      <c r="AW14" s="65"/>
      <c r="AX14" s="65">
        <v>4</v>
      </c>
      <c r="AY14" s="65">
        <v>4</v>
      </c>
      <c r="AZ14" s="65">
        <v>4</v>
      </c>
      <c r="BA14" s="65">
        <v>4</v>
      </c>
      <c r="BB14" s="65"/>
      <c r="BC14" s="65"/>
      <c r="BD14" s="65"/>
      <c r="BE14" s="65"/>
      <c r="BF14" s="65"/>
      <c r="BG14" s="65"/>
      <c r="BH14" s="65"/>
      <c r="BI14" s="65"/>
      <c r="BJ14" s="65"/>
      <c r="BK14" s="65">
        <v>120</v>
      </c>
      <c r="BL14" s="65">
        <v>120</v>
      </c>
      <c r="BM14" s="65">
        <v>146</v>
      </c>
      <c r="BN14" s="65">
        <v>183</v>
      </c>
      <c r="BO14" s="65">
        <v>245</v>
      </c>
      <c r="BP14" s="65">
        <v>456</v>
      </c>
      <c r="BQ14" s="65">
        <v>652</v>
      </c>
      <c r="BR14" s="65">
        <v>639</v>
      </c>
      <c r="BS14" s="65">
        <v>759</v>
      </c>
      <c r="BT14" s="65">
        <v>863</v>
      </c>
      <c r="BU14" s="65">
        <v>863</v>
      </c>
      <c r="BV14" s="65">
        <v>908</v>
      </c>
      <c r="BW14" s="65">
        <v>908</v>
      </c>
      <c r="BX14" s="65">
        <v>1048</v>
      </c>
      <c r="BY14" s="65">
        <v>1048</v>
      </c>
      <c r="BZ14" s="65">
        <v>882</v>
      </c>
      <c r="CA14" s="65">
        <v>878</v>
      </c>
      <c r="CB14" s="65">
        <v>620</v>
      </c>
      <c r="CC14" s="65">
        <v>372</v>
      </c>
      <c r="CD14" s="65">
        <v>333</v>
      </c>
      <c r="CE14" s="65">
        <v>277</v>
      </c>
      <c r="CF14" s="65">
        <v>232</v>
      </c>
      <c r="CG14" s="65">
        <v>232</v>
      </c>
      <c r="CH14" s="65">
        <v>234</v>
      </c>
      <c r="CI14" s="65">
        <v>172</v>
      </c>
      <c r="CJ14" s="65">
        <v>172</v>
      </c>
      <c r="CK14" s="65">
        <v>146</v>
      </c>
      <c r="CL14" s="65">
        <v>120</v>
      </c>
      <c r="CM14" s="65">
        <v>120</v>
      </c>
      <c r="CN14" s="65">
        <v>120</v>
      </c>
      <c r="CO14" s="65">
        <v>120</v>
      </c>
      <c r="CP14" s="65">
        <v>120</v>
      </c>
      <c r="CQ14" s="65">
        <v>120</v>
      </c>
      <c r="CR14" s="65"/>
      <c r="CS14" s="65"/>
      <c r="CT14" s="66"/>
      <c r="CU14" s="66"/>
      <c r="CV14" s="66"/>
      <c r="CW14" s="67"/>
      <c r="CX14" s="68">
        <f t="array" ref="CX14">SUMPRODUCT(B14:CW14*0.25)</f>
        <v>3871</v>
      </c>
    </row>
    <row r="15" spans="1:102" ht="24.95" customHeight="1" x14ac:dyDescent="0.2">
      <c r="A15" s="69" t="s">
        <v>12</v>
      </c>
      <c r="B15" s="70">
        <v>2531.8490000000002</v>
      </c>
      <c r="C15" s="71">
        <v>2572.5030000000002</v>
      </c>
      <c r="D15" s="71">
        <v>2610.04</v>
      </c>
      <c r="E15" s="71">
        <v>2637.163</v>
      </c>
      <c r="F15" s="71">
        <v>2692.828</v>
      </c>
      <c r="G15" s="71">
        <v>2726.7550000000001</v>
      </c>
      <c r="H15" s="71">
        <v>2746.7350000000001</v>
      </c>
      <c r="I15" s="71">
        <v>2780.6179999999999</v>
      </c>
      <c r="J15" s="71">
        <v>2797.076</v>
      </c>
      <c r="K15" s="71">
        <v>2812.7240000000002</v>
      </c>
      <c r="L15" s="71">
        <v>2833.5010000000002</v>
      </c>
      <c r="M15" s="71">
        <v>2836.2080000000001</v>
      </c>
      <c r="N15" s="71">
        <v>2860.13</v>
      </c>
      <c r="O15" s="71">
        <v>2851.373</v>
      </c>
      <c r="P15" s="71">
        <v>2871.5140000000001</v>
      </c>
      <c r="Q15" s="71">
        <v>2870.069</v>
      </c>
      <c r="R15" s="71">
        <v>2864.7080000000001</v>
      </c>
      <c r="S15" s="71">
        <v>2853.748</v>
      </c>
      <c r="T15" s="71">
        <v>2853.96</v>
      </c>
      <c r="U15" s="71">
        <v>2852.6130000000003</v>
      </c>
      <c r="V15" s="71">
        <v>2845.5870000000004</v>
      </c>
      <c r="W15" s="71">
        <v>2833.011</v>
      </c>
      <c r="X15" s="71">
        <v>2833.9519999999998</v>
      </c>
      <c r="Y15" s="71">
        <v>2812.3119999999999</v>
      </c>
      <c r="Z15" s="71">
        <v>2782.3150000000001</v>
      </c>
      <c r="AA15" s="71">
        <v>2749.3490000000002</v>
      </c>
      <c r="AB15" s="71">
        <v>2754.3870000000002</v>
      </c>
      <c r="AC15" s="71">
        <v>2782.7620000000006</v>
      </c>
      <c r="AD15" s="71">
        <v>2969.0910000000003</v>
      </c>
      <c r="AE15" s="71">
        <v>3278.3579999999997</v>
      </c>
      <c r="AF15" s="71">
        <v>3689.4549999999999</v>
      </c>
      <c r="AG15" s="71">
        <v>4171.5559999999996</v>
      </c>
      <c r="AH15" s="71">
        <v>4715.4820000000009</v>
      </c>
      <c r="AI15" s="71">
        <v>5235.5770000000002</v>
      </c>
      <c r="AJ15" s="71">
        <v>5745.7410000000009</v>
      </c>
      <c r="AK15" s="71">
        <v>6199.2979999999998</v>
      </c>
      <c r="AL15" s="71">
        <v>6588.44</v>
      </c>
      <c r="AM15" s="71">
        <v>6915.6850000000004</v>
      </c>
      <c r="AN15" s="71">
        <v>7148.8870000000006</v>
      </c>
      <c r="AO15" s="71">
        <v>7427.7580000000007</v>
      </c>
      <c r="AP15" s="71">
        <v>7610.9959999999992</v>
      </c>
      <c r="AQ15" s="71">
        <v>7693.9170000000004</v>
      </c>
      <c r="AR15" s="71">
        <v>7791.6200000000008</v>
      </c>
      <c r="AS15" s="71">
        <v>7800.4570000000003</v>
      </c>
      <c r="AT15" s="71">
        <v>7803.1590000000006</v>
      </c>
      <c r="AU15" s="71">
        <v>7752.5460000000003</v>
      </c>
      <c r="AV15" s="71">
        <v>7675.2749999999996</v>
      </c>
      <c r="AW15" s="71">
        <v>7596.335</v>
      </c>
      <c r="AX15" s="71">
        <v>7510.2160000000003</v>
      </c>
      <c r="AY15" s="71">
        <v>7353.4029999999993</v>
      </c>
      <c r="AZ15" s="71">
        <v>7192.3620000000001</v>
      </c>
      <c r="BA15" s="71">
        <v>6991.808</v>
      </c>
      <c r="BB15" s="71">
        <v>6708.7789999999995</v>
      </c>
      <c r="BC15" s="71">
        <v>6432.9690000000001</v>
      </c>
      <c r="BD15" s="71">
        <v>6088.027</v>
      </c>
      <c r="BE15" s="71">
        <v>5691.9430000000002</v>
      </c>
      <c r="BF15" s="71">
        <v>5293.5649999999996</v>
      </c>
      <c r="BG15" s="71">
        <v>4781.3109999999997</v>
      </c>
      <c r="BH15" s="71">
        <v>4227.9950000000008</v>
      </c>
      <c r="BI15" s="71">
        <v>3630.0329999999999</v>
      </c>
      <c r="BJ15" s="71">
        <v>3032.91</v>
      </c>
      <c r="BK15" s="71">
        <v>2480.1709999999998</v>
      </c>
      <c r="BL15" s="71">
        <v>1967.8709999999999</v>
      </c>
      <c r="BM15" s="71">
        <v>1528.1420000000003</v>
      </c>
      <c r="BN15" s="71">
        <v>1186.289</v>
      </c>
      <c r="BO15" s="71">
        <v>1072.4749999999999</v>
      </c>
      <c r="BP15" s="71">
        <v>1016.789</v>
      </c>
      <c r="BQ15" s="71">
        <v>997.45299999999997</v>
      </c>
      <c r="BR15" s="71">
        <v>963.005</v>
      </c>
      <c r="BS15" s="71">
        <v>956.18200000000002</v>
      </c>
      <c r="BT15" s="71">
        <v>953.07500000000005</v>
      </c>
      <c r="BU15" s="71">
        <v>951.21799999999996</v>
      </c>
      <c r="BV15" s="71">
        <v>957.34199999999998</v>
      </c>
      <c r="BW15" s="71">
        <v>953.39300000000003</v>
      </c>
      <c r="BX15" s="71">
        <v>955.45400000000006</v>
      </c>
      <c r="BY15" s="71">
        <v>960.779</v>
      </c>
      <c r="BZ15" s="71">
        <v>949.09399999999994</v>
      </c>
      <c r="CA15" s="71">
        <v>963.10599999999999</v>
      </c>
      <c r="CB15" s="71">
        <v>973.90299999999991</v>
      </c>
      <c r="CC15" s="71">
        <v>994.10299999999995</v>
      </c>
      <c r="CD15" s="71">
        <v>1001.1560000000001</v>
      </c>
      <c r="CE15" s="71">
        <v>1021.405</v>
      </c>
      <c r="CF15" s="71">
        <v>1030.8599999999999</v>
      </c>
      <c r="CG15" s="71">
        <v>1045.2830000000001</v>
      </c>
      <c r="CH15" s="71">
        <v>1055.1559999999999</v>
      </c>
      <c r="CI15" s="71">
        <v>1080.1600000000001</v>
      </c>
      <c r="CJ15" s="71">
        <v>1105.886</v>
      </c>
      <c r="CK15" s="71">
        <v>1121.6690000000001</v>
      </c>
      <c r="CL15" s="71">
        <v>1136.193</v>
      </c>
      <c r="CM15" s="71">
        <v>1154.808</v>
      </c>
      <c r="CN15" s="71">
        <v>1176.3530000000001</v>
      </c>
      <c r="CO15" s="71">
        <v>1197.9549999999999</v>
      </c>
      <c r="CP15" s="71">
        <v>1217.6469999999999</v>
      </c>
      <c r="CQ15" s="71">
        <v>1244.5739999999998</v>
      </c>
      <c r="CR15" s="71">
        <v>1274.078</v>
      </c>
      <c r="CS15" s="71">
        <v>1305.0240000000001</v>
      </c>
      <c r="CT15" s="72"/>
      <c r="CU15" s="72"/>
      <c r="CV15" s="72"/>
      <c r="CW15" s="73"/>
      <c r="CX15" s="74">
        <f t="array" ref="CX15">SUMPRODUCT(B15:CW15*0.25)</f>
        <v>79635.698749999952</v>
      </c>
    </row>
    <row r="16" spans="1:102" ht="24.95" customHeight="1" x14ac:dyDescent="0.2">
      <c r="A16" s="69" t="s">
        <v>13</v>
      </c>
      <c r="B16" s="70">
        <v>48</v>
      </c>
      <c r="C16" s="71">
        <v>48</v>
      </c>
      <c r="D16" s="71">
        <v>48</v>
      </c>
      <c r="E16" s="71">
        <v>48</v>
      </c>
      <c r="F16" s="71">
        <v>55</v>
      </c>
      <c r="G16" s="71">
        <v>55</v>
      </c>
      <c r="H16" s="71">
        <v>55</v>
      </c>
      <c r="I16" s="71">
        <v>55</v>
      </c>
      <c r="J16" s="71">
        <v>67</v>
      </c>
      <c r="K16" s="71">
        <v>67</v>
      </c>
      <c r="L16" s="71">
        <v>67</v>
      </c>
      <c r="M16" s="71">
        <v>67</v>
      </c>
      <c r="N16" s="71">
        <v>81</v>
      </c>
      <c r="O16" s="71">
        <v>81</v>
      </c>
      <c r="P16" s="71">
        <v>81</v>
      </c>
      <c r="Q16" s="71">
        <v>81</v>
      </c>
      <c r="R16" s="71">
        <v>95</v>
      </c>
      <c r="S16" s="71">
        <v>95</v>
      </c>
      <c r="T16" s="71">
        <v>95</v>
      </c>
      <c r="U16" s="71">
        <v>95</v>
      </c>
      <c r="V16" s="71">
        <v>107</v>
      </c>
      <c r="W16" s="71">
        <v>107</v>
      </c>
      <c r="X16" s="71">
        <v>107</v>
      </c>
      <c r="Y16" s="71">
        <v>107</v>
      </c>
      <c r="Z16" s="71">
        <v>118</v>
      </c>
      <c r="AA16" s="71">
        <v>118</v>
      </c>
      <c r="AB16" s="71">
        <v>118</v>
      </c>
      <c r="AC16" s="71">
        <v>118</v>
      </c>
      <c r="AD16" s="71">
        <v>131</v>
      </c>
      <c r="AE16" s="71">
        <v>131</v>
      </c>
      <c r="AF16" s="71">
        <v>131</v>
      </c>
      <c r="AG16" s="71">
        <v>131</v>
      </c>
      <c r="AH16" s="71">
        <v>148</v>
      </c>
      <c r="AI16" s="71">
        <v>148</v>
      </c>
      <c r="AJ16" s="71">
        <v>148</v>
      </c>
      <c r="AK16" s="71">
        <v>148</v>
      </c>
      <c r="AL16" s="71">
        <v>161</v>
      </c>
      <c r="AM16" s="71">
        <v>161</v>
      </c>
      <c r="AN16" s="71">
        <v>161</v>
      </c>
      <c r="AO16" s="71">
        <v>161</v>
      </c>
      <c r="AP16" s="71">
        <v>171</v>
      </c>
      <c r="AQ16" s="71">
        <v>171</v>
      </c>
      <c r="AR16" s="71">
        <v>171</v>
      </c>
      <c r="AS16" s="71">
        <v>171</v>
      </c>
      <c r="AT16" s="71">
        <v>175</v>
      </c>
      <c r="AU16" s="71">
        <v>175</v>
      </c>
      <c r="AV16" s="71">
        <v>175</v>
      </c>
      <c r="AW16" s="71">
        <v>175</v>
      </c>
      <c r="AX16" s="71">
        <v>176</v>
      </c>
      <c r="AY16" s="71">
        <v>176</v>
      </c>
      <c r="AZ16" s="71">
        <v>176</v>
      </c>
      <c r="BA16" s="71">
        <v>176</v>
      </c>
      <c r="BB16" s="71">
        <v>171</v>
      </c>
      <c r="BC16" s="71">
        <v>171</v>
      </c>
      <c r="BD16" s="71">
        <v>171</v>
      </c>
      <c r="BE16" s="71">
        <v>171</v>
      </c>
      <c r="BF16" s="71">
        <v>160</v>
      </c>
      <c r="BG16" s="71">
        <v>160</v>
      </c>
      <c r="BH16" s="71">
        <v>160</v>
      </c>
      <c r="BI16" s="71">
        <v>160</v>
      </c>
      <c r="BJ16" s="71">
        <v>142</v>
      </c>
      <c r="BK16" s="71">
        <v>142</v>
      </c>
      <c r="BL16" s="71">
        <v>142</v>
      </c>
      <c r="BM16" s="71">
        <v>142</v>
      </c>
      <c r="BN16" s="71">
        <v>131</v>
      </c>
      <c r="BO16" s="71">
        <v>131</v>
      </c>
      <c r="BP16" s="71">
        <v>131</v>
      </c>
      <c r="BQ16" s="71">
        <v>131</v>
      </c>
      <c r="BR16" s="71">
        <v>124</v>
      </c>
      <c r="BS16" s="71">
        <v>124</v>
      </c>
      <c r="BT16" s="71">
        <v>124</v>
      </c>
      <c r="BU16" s="71">
        <v>124</v>
      </c>
      <c r="BV16" s="71">
        <v>117</v>
      </c>
      <c r="BW16" s="71">
        <v>117</v>
      </c>
      <c r="BX16" s="71">
        <v>117</v>
      </c>
      <c r="BY16" s="71">
        <v>117</v>
      </c>
      <c r="BZ16" s="71">
        <v>107</v>
      </c>
      <c r="CA16" s="71">
        <v>107</v>
      </c>
      <c r="CB16" s="71">
        <v>107</v>
      </c>
      <c r="CC16" s="71">
        <v>107</v>
      </c>
      <c r="CD16" s="71">
        <v>97</v>
      </c>
      <c r="CE16" s="71">
        <v>97</v>
      </c>
      <c r="CF16" s="71">
        <v>97</v>
      </c>
      <c r="CG16" s="71">
        <v>97</v>
      </c>
      <c r="CH16" s="71">
        <v>86</v>
      </c>
      <c r="CI16" s="71">
        <v>86</v>
      </c>
      <c r="CJ16" s="71">
        <v>86</v>
      </c>
      <c r="CK16" s="71">
        <v>86</v>
      </c>
      <c r="CL16" s="71">
        <v>77</v>
      </c>
      <c r="CM16" s="71">
        <v>77</v>
      </c>
      <c r="CN16" s="71">
        <v>77</v>
      </c>
      <c r="CO16" s="71">
        <v>77</v>
      </c>
      <c r="CP16" s="71">
        <v>69</v>
      </c>
      <c r="CQ16" s="71">
        <v>69</v>
      </c>
      <c r="CR16" s="71">
        <v>69</v>
      </c>
      <c r="CS16" s="71">
        <v>69</v>
      </c>
      <c r="CT16" s="72"/>
      <c r="CU16" s="72"/>
      <c r="CV16" s="72"/>
      <c r="CW16" s="73"/>
      <c r="CX16" s="74">
        <f t="array" ref="CX16">SUMPRODUCT(B16:CW16*0.25)</f>
        <v>2814</v>
      </c>
    </row>
    <row r="17" spans="1:102" ht="30" customHeight="1" thickBot="1" x14ac:dyDescent="0.25">
      <c r="A17" s="75" t="s">
        <v>14</v>
      </c>
      <c r="B17" s="76">
        <f>SUM(B11:B16)</f>
        <v>6823.5380000000005</v>
      </c>
      <c r="C17" s="77">
        <f t="shared" ref="C17:BN17" si="0">SUM(C11:C16)</f>
        <v>6757.0560000000005</v>
      </c>
      <c r="D17" s="77">
        <f t="shared" si="0"/>
        <v>6444.73</v>
      </c>
      <c r="E17" s="77">
        <f t="shared" si="0"/>
        <v>6136.0030000000006</v>
      </c>
      <c r="F17" s="77">
        <f t="shared" si="0"/>
        <v>6525.869999999999</v>
      </c>
      <c r="G17" s="77">
        <f t="shared" si="0"/>
        <v>6271.2910000000002</v>
      </c>
      <c r="H17" s="77">
        <f t="shared" si="0"/>
        <v>6163.6769999999997</v>
      </c>
      <c r="I17" s="77">
        <f t="shared" si="0"/>
        <v>6141.2039999999997</v>
      </c>
      <c r="J17" s="77">
        <f t="shared" si="0"/>
        <v>6134.58</v>
      </c>
      <c r="K17" s="77">
        <f t="shared" si="0"/>
        <v>5900.4120000000003</v>
      </c>
      <c r="L17" s="77">
        <f t="shared" si="0"/>
        <v>5784.362000000001</v>
      </c>
      <c r="M17" s="77">
        <f t="shared" si="0"/>
        <v>5479.8850000000002</v>
      </c>
      <c r="N17" s="77">
        <f t="shared" si="0"/>
        <v>5749.9809999999998</v>
      </c>
      <c r="O17" s="77">
        <f t="shared" si="0"/>
        <v>5507.7350000000006</v>
      </c>
      <c r="P17" s="77">
        <f t="shared" si="0"/>
        <v>5416.674</v>
      </c>
      <c r="Q17" s="77">
        <f t="shared" si="0"/>
        <v>5482.3710000000001</v>
      </c>
      <c r="R17" s="77">
        <f t="shared" si="0"/>
        <v>5173.6080000000002</v>
      </c>
      <c r="S17" s="77">
        <f t="shared" si="0"/>
        <v>5166.6419999999998</v>
      </c>
      <c r="T17" s="77">
        <f t="shared" si="0"/>
        <v>5252.1670000000004</v>
      </c>
      <c r="U17" s="77">
        <f t="shared" si="0"/>
        <v>5250.8250000000007</v>
      </c>
      <c r="V17" s="77">
        <f t="shared" si="0"/>
        <v>5197.487000000001</v>
      </c>
      <c r="W17" s="77">
        <f t="shared" si="0"/>
        <v>5203.1610000000001</v>
      </c>
      <c r="X17" s="77">
        <f t="shared" si="0"/>
        <v>5349.0839999999998</v>
      </c>
      <c r="Y17" s="77">
        <f t="shared" si="0"/>
        <v>5511.3330000000005</v>
      </c>
      <c r="Z17" s="77">
        <f t="shared" si="0"/>
        <v>5092.8980000000001</v>
      </c>
      <c r="AA17" s="77">
        <f t="shared" si="0"/>
        <v>5234.2139999999999</v>
      </c>
      <c r="AB17" s="77">
        <f t="shared" si="0"/>
        <v>5371.7020000000002</v>
      </c>
      <c r="AC17" s="77">
        <f t="shared" si="0"/>
        <v>5534.0660000000007</v>
      </c>
      <c r="AD17" s="77">
        <f t="shared" si="0"/>
        <v>5733.0630000000001</v>
      </c>
      <c r="AE17" s="77">
        <f t="shared" si="0"/>
        <v>5680.0830000000005</v>
      </c>
      <c r="AF17" s="77">
        <f t="shared" si="0"/>
        <v>5933.3549999999996</v>
      </c>
      <c r="AG17" s="77">
        <f t="shared" si="0"/>
        <v>6415.4560000000001</v>
      </c>
      <c r="AH17" s="77">
        <f t="shared" si="0"/>
        <v>6803.3820000000014</v>
      </c>
      <c r="AI17" s="77">
        <f t="shared" si="0"/>
        <v>7323.4770000000008</v>
      </c>
      <c r="AJ17" s="77">
        <f t="shared" si="0"/>
        <v>7833.6410000000014</v>
      </c>
      <c r="AK17" s="77">
        <f t="shared" si="0"/>
        <v>8218.1980000000003</v>
      </c>
      <c r="AL17" s="77">
        <f t="shared" si="0"/>
        <v>8204.34</v>
      </c>
      <c r="AM17" s="77">
        <f t="shared" si="0"/>
        <v>8407.4179999999997</v>
      </c>
      <c r="AN17" s="77">
        <f t="shared" si="0"/>
        <v>8516.4540000000015</v>
      </c>
      <c r="AO17" s="77">
        <f t="shared" si="0"/>
        <v>8738.6580000000013</v>
      </c>
      <c r="AP17" s="77">
        <f t="shared" si="0"/>
        <v>8933.8959999999988</v>
      </c>
      <c r="AQ17" s="77">
        <f t="shared" si="0"/>
        <v>9016.8170000000009</v>
      </c>
      <c r="AR17" s="77">
        <f t="shared" si="0"/>
        <v>9114.52</v>
      </c>
      <c r="AS17" s="77">
        <f t="shared" si="0"/>
        <v>9123.357</v>
      </c>
      <c r="AT17" s="77">
        <f t="shared" si="0"/>
        <v>9092.0590000000011</v>
      </c>
      <c r="AU17" s="77">
        <f t="shared" si="0"/>
        <v>9041.4459999999999</v>
      </c>
      <c r="AV17" s="77">
        <f t="shared" si="0"/>
        <v>8964.1749999999993</v>
      </c>
      <c r="AW17" s="77">
        <f t="shared" si="0"/>
        <v>8885.2350000000006</v>
      </c>
      <c r="AX17" s="77">
        <f t="shared" si="0"/>
        <v>8805.116</v>
      </c>
      <c r="AY17" s="77">
        <f t="shared" si="0"/>
        <v>8648.3029999999999</v>
      </c>
      <c r="AZ17" s="77">
        <f t="shared" si="0"/>
        <v>8487.2620000000006</v>
      </c>
      <c r="BA17" s="77">
        <f t="shared" si="0"/>
        <v>8286.7080000000005</v>
      </c>
      <c r="BB17" s="77">
        <f t="shared" si="0"/>
        <v>8075.6790000000001</v>
      </c>
      <c r="BC17" s="77">
        <f t="shared" si="0"/>
        <v>7874.8690000000006</v>
      </c>
      <c r="BD17" s="77">
        <f t="shared" si="0"/>
        <v>7799.9269999999997</v>
      </c>
      <c r="BE17" s="77">
        <f t="shared" si="0"/>
        <v>7488.8430000000008</v>
      </c>
      <c r="BF17" s="77">
        <f t="shared" si="0"/>
        <v>7326.4650000000001</v>
      </c>
      <c r="BG17" s="77">
        <f t="shared" si="0"/>
        <v>6958.2109999999993</v>
      </c>
      <c r="BH17" s="77">
        <f t="shared" si="0"/>
        <v>6479.8950000000004</v>
      </c>
      <c r="BI17" s="77">
        <f t="shared" si="0"/>
        <v>6208.8230000000003</v>
      </c>
      <c r="BJ17" s="77">
        <f t="shared" si="0"/>
        <v>5852.7219999999998</v>
      </c>
      <c r="BK17" s="77">
        <f t="shared" si="0"/>
        <v>5883.0020000000004</v>
      </c>
      <c r="BL17" s="77">
        <f t="shared" si="0"/>
        <v>6026.3249999999998</v>
      </c>
      <c r="BM17" s="77">
        <f t="shared" si="0"/>
        <v>6130.7510000000002</v>
      </c>
      <c r="BN17" s="77">
        <f t="shared" si="0"/>
        <v>5606.73</v>
      </c>
      <c r="BO17" s="77">
        <f t="shared" ref="BO17:CW17" si="1">SUM(BO11:BO16)</f>
        <v>5568.3790000000008</v>
      </c>
      <c r="BP17" s="77">
        <f t="shared" si="1"/>
        <v>5758.2910000000002</v>
      </c>
      <c r="BQ17" s="77">
        <f t="shared" si="1"/>
        <v>5809.6679999999997</v>
      </c>
      <c r="BR17" s="77">
        <f t="shared" si="1"/>
        <v>5897.5590000000002</v>
      </c>
      <c r="BS17" s="77">
        <f t="shared" si="1"/>
        <v>5999.5649999999996</v>
      </c>
      <c r="BT17" s="77">
        <f t="shared" si="1"/>
        <v>6055.7269999999999</v>
      </c>
      <c r="BU17" s="77">
        <f t="shared" si="1"/>
        <v>6086.4929999999995</v>
      </c>
      <c r="BV17" s="77">
        <f t="shared" si="1"/>
        <v>6159.04</v>
      </c>
      <c r="BW17" s="77">
        <f t="shared" si="1"/>
        <v>6164.5120000000006</v>
      </c>
      <c r="BX17" s="77">
        <f t="shared" si="1"/>
        <v>6232.4089999999997</v>
      </c>
      <c r="BY17" s="77">
        <f t="shared" si="1"/>
        <v>6206.768</v>
      </c>
      <c r="BZ17" s="77">
        <f t="shared" si="1"/>
        <v>6012.5479999999998</v>
      </c>
      <c r="CA17" s="77">
        <f t="shared" si="1"/>
        <v>6014.0149999999994</v>
      </c>
      <c r="CB17" s="77">
        <f t="shared" si="1"/>
        <v>5924.1610000000001</v>
      </c>
      <c r="CC17" s="77">
        <f t="shared" si="1"/>
        <v>5805.5820000000003</v>
      </c>
      <c r="CD17" s="77">
        <f t="shared" si="1"/>
        <v>5634.076</v>
      </c>
      <c r="CE17" s="77">
        <f t="shared" si="1"/>
        <v>5562.1130000000003</v>
      </c>
      <c r="CF17" s="77">
        <f t="shared" si="1"/>
        <v>5483.0989999999993</v>
      </c>
      <c r="CG17" s="77">
        <f t="shared" si="1"/>
        <v>5456.7359999999999</v>
      </c>
      <c r="CH17" s="77">
        <f t="shared" si="1"/>
        <v>5571.0069999999996</v>
      </c>
      <c r="CI17" s="77">
        <f t="shared" si="1"/>
        <v>5496.4130000000005</v>
      </c>
      <c r="CJ17" s="77">
        <f t="shared" si="1"/>
        <v>5463.6759999999995</v>
      </c>
      <c r="CK17" s="77">
        <f t="shared" si="1"/>
        <v>5391.5769999999993</v>
      </c>
      <c r="CL17" s="77">
        <f t="shared" si="1"/>
        <v>5445.1060000000007</v>
      </c>
      <c r="CM17" s="77">
        <f t="shared" si="1"/>
        <v>5549.1790000000001</v>
      </c>
      <c r="CN17" s="77">
        <f t="shared" si="1"/>
        <v>5476.491</v>
      </c>
      <c r="CO17" s="77">
        <f t="shared" si="1"/>
        <v>5415.973</v>
      </c>
      <c r="CP17" s="77">
        <f t="shared" si="1"/>
        <v>5432.4560000000001</v>
      </c>
      <c r="CQ17" s="77">
        <f t="shared" si="1"/>
        <v>5283.3280000000004</v>
      </c>
      <c r="CR17" s="77">
        <f t="shared" si="1"/>
        <v>5148.8559999999998</v>
      </c>
      <c r="CS17" s="77">
        <f t="shared" si="1"/>
        <v>5022.28</v>
      </c>
      <c r="CT17" s="78">
        <f t="shared" si="1"/>
        <v>0</v>
      </c>
      <c r="CU17" s="78">
        <f t="shared" si="1"/>
        <v>0</v>
      </c>
      <c r="CV17" s="78">
        <f t="shared" si="1"/>
        <v>0</v>
      </c>
      <c r="CW17" s="79">
        <f t="shared" si="1"/>
        <v>0</v>
      </c>
      <c r="CX17" s="80">
        <f>SUM(CX11:CX16)</f>
        <v>154625.57499999992</v>
      </c>
    </row>
    <row r="18" spans="1:102" ht="18" customHeight="1" thickBot="1" x14ac:dyDescent="0.25">
      <c r="A18" s="81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4"/>
    </row>
    <row r="19" spans="1:102" ht="30" customHeight="1" thickBot="1" x14ac:dyDescent="0.25">
      <c r="A19" s="85" t="s">
        <v>15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0"/>
      <c r="CX19" s="18" t="s">
        <v>1</v>
      </c>
    </row>
    <row r="20" spans="1:102" ht="24.95" customHeight="1" x14ac:dyDescent="0.2">
      <c r="A20" s="86" t="s">
        <v>16</v>
      </c>
      <c r="B20" s="87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9"/>
      <c r="CU20" s="89"/>
      <c r="CV20" s="89"/>
      <c r="CW20" s="90"/>
      <c r="CX20" s="91">
        <f t="array" ref="CX20">SUMPRODUCT(B20:CW20*0.25)</f>
        <v>0</v>
      </c>
    </row>
    <row r="21" spans="1:102" ht="24.95" customHeight="1" x14ac:dyDescent="0.2">
      <c r="A21" s="92" t="s">
        <v>17</v>
      </c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5"/>
      <c r="CU21" s="95"/>
      <c r="CV21" s="95"/>
      <c r="CW21" s="96"/>
      <c r="CX21" s="97">
        <f t="array" ref="CX21">SUMPRODUCT(B21:CW21*0.25)</f>
        <v>0</v>
      </c>
    </row>
    <row r="22" spans="1:102" ht="24.95" customHeight="1" x14ac:dyDescent="0.2">
      <c r="A22" s="92" t="s">
        <v>18</v>
      </c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100"/>
      <c r="CU22" s="100"/>
      <c r="CV22" s="100"/>
      <c r="CW22" s="96"/>
      <c r="CX22" s="97">
        <f t="array" ref="CX22">SUMPRODUCT(B22:CW22*0.25)</f>
        <v>0</v>
      </c>
    </row>
    <row r="23" spans="1:102" ht="24.95" customHeight="1" x14ac:dyDescent="0.2">
      <c r="A23" s="101" t="s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100"/>
      <c r="CU23" s="100"/>
      <c r="CV23" s="100"/>
      <c r="CW23" s="102"/>
      <c r="CX23" s="103">
        <f t="array" ref="CX23">SUMPRODUCT(B23:CW23*0.25)</f>
        <v>0</v>
      </c>
    </row>
    <row r="24" spans="1:102" ht="24.95" customHeight="1" x14ac:dyDescent="0.2">
      <c r="A24" s="104" t="s">
        <v>20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7">
        <f t="array" ref="CX24">SUMPRODUCT(B24:CW24*0.25)</f>
        <v>0</v>
      </c>
    </row>
    <row r="25" spans="1:102" ht="24.95" customHeight="1" x14ac:dyDescent="0.2">
      <c r="A25" s="104" t="s">
        <v>21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7">
        <f t="array" ref="CX25">SUMPRODUCT(B25:CW25*0.25)</f>
        <v>0</v>
      </c>
    </row>
    <row r="26" spans="1:102" ht="24.95" customHeight="1" x14ac:dyDescent="0.2">
      <c r="A26" s="104" t="s">
        <v>22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7">
        <f t="array" ref="CX26">SUMPRODUCT(B26:CW26*0.25)</f>
        <v>0</v>
      </c>
    </row>
    <row r="27" spans="1:102" ht="30" customHeight="1" thickBot="1" x14ac:dyDescent="0.25">
      <c r="A27" s="105" t="s">
        <v>23</v>
      </c>
      <c r="B27" s="106">
        <f t="shared" ref="B27:P27" si="2">IF(LEN(B$3)&gt;0,SUM(B20:B26),"")</f>
        <v>0</v>
      </c>
      <c r="C27" s="107">
        <f t="shared" si="2"/>
        <v>0</v>
      </c>
      <c r="D27" s="107">
        <f t="shared" si="2"/>
        <v>0</v>
      </c>
      <c r="E27" s="107">
        <f t="shared" si="2"/>
        <v>0</v>
      </c>
      <c r="F27" s="107">
        <f t="shared" si="2"/>
        <v>0</v>
      </c>
      <c r="G27" s="107">
        <f t="shared" si="2"/>
        <v>0</v>
      </c>
      <c r="H27" s="107">
        <f t="shared" si="2"/>
        <v>0</v>
      </c>
      <c r="I27" s="107">
        <f t="shared" si="2"/>
        <v>0</v>
      </c>
      <c r="J27" s="107">
        <f t="shared" si="2"/>
        <v>0</v>
      </c>
      <c r="K27" s="107">
        <f t="shared" si="2"/>
        <v>0</v>
      </c>
      <c r="L27" s="107">
        <f t="shared" si="2"/>
        <v>0</v>
      </c>
      <c r="M27" s="107">
        <f t="shared" si="2"/>
        <v>0</v>
      </c>
      <c r="N27" s="107">
        <f t="shared" si="2"/>
        <v>0</v>
      </c>
      <c r="O27" s="107">
        <f t="shared" si="2"/>
        <v>0</v>
      </c>
      <c r="P27" s="107">
        <f t="shared" si="2"/>
        <v>0</v>
      </c>
      <c r="Q27" s="107">
        <f>SUM(Q20:Q26)</f>
        <v>0</v>
      </c>
      <c r="R27" s="107">
        <f t="shared" ref="R27:CC27" si="3">SUM(R20:R26)</f>
        <v>0</v>
      </c>
      <c r="S27" s="107">
        <f t="shared" si="3"/>
        <v>0</v>
      </c>
      <c r="T27" s="107">
        <f t="shared" si="3"/>
        <v>0</v>
      </c>
      <c r="U27" s="107">
        <f t="shared" si="3"/>
        <v>0</v>
      </c>
      <c r="V27" s="107">
        <f t="shared" si="3"/>
        <v>0</v>
      </c>
      <c r="W27" s="107">
        <f t="shared" si="3"/>
        <v>0</v>
      </c>
      <c r="X27" s="107">
        <f t="shared" si="3"/>
        <v>0</v>
      </c>
      <c r="Y27" s="107">
        <f t="shared" si="3"/>
        <v>0</v>
      </c>
      <c r="Z27" s="107">
        <f t="shared" si="3"/>
        <v>0</v>
      </c>
      <c r="AA27" s="107">
        <f t="shared" si="3"/>
        <v>0</v>
      </c>
      <c r="AB27" s="107">
        <f t="shared" si="3"/>
        <v>0</v>
      </c>
      <c r="AC27" s="107">
        <f t="shared" si="3"/>
        <v>0</v>
      </c>
      <c r="AD27" s="107">
        <f t="shared" si="3"/>
        <v>0</v>
      </c>
      <c r="AE27" s="107">
        <f t="shared" si="3"/>
        <v>0</v>
      </c>
      <c r="AF27" s="107">
        <f t="shared" si="3"/>
        <v>0</v>
      </c>
      <c r="AG27" s="107">
        <f t="shared" si="3"/>
        <v>0</v>
      </c>
      <c r="AH27" s="107">
        <f t="shared" si="3"/>
        <v>0</v>
      </c>
      <c r="AI27" s="107">
        <f t="shared" si="3"/>
        <v>0</v>
      </c>
      <c r="AJ27" s="107">
        <f t="shared" si="3"/>
        <v>0</v>
      </c>
      <c r="AK27" s="107">
        <f t="shared" si="3"/>
        <v>0</v>
      </c>
      <c r="AL27" s="107">
        <f t="shared" si="3"/>
        <v>0</v>
      </c>
      <c r="AM27" s="107">
        <f t="shared" si="3"/>
        <v>0</v>
      </c>
      <c r="AN27" s="107">
        <f t="shared" si="3"/>
        <v>0</v>
      </c>
      <c r="AO27" s="107">
        <f t="shared" si="3"/>
        <v>0</v>
      </c>
      <c r="AP27" s="107">
        <f t="shared" si="3"/>
        <v>0</v>
      </c>
      <c r="AQ27" s="107">
        <f t="shared" si="3"/>
        <v>0</v>
      </c>
      <c r="AR27" s="107">
        <f t="shared" si="3"/>
        <v>0</v>
      </c>
      <c r="AS27" s="107">
        <f t="shared" si="3"/>
        <v>0</v>
      </c>
      <c r="AT27" s="107">
        <f t="shared" si="3"/>
        <v>0</v>
      </c>
      <c r="AU27" s="107">
        <f t="shared" si="3"/>
        <v>0</v>
      </c>
      <c r="AV27" s="107">
        <f t="shared" si="3"/>
        <v>0</v>
      </c>
      <c r="AW27" s="107">
        <f t="shared" si="3"/>
        <v>0</v>
      </c>
      <c r="AX27" s="107">
        <f t="shared" si="3"/>
        <v>0</v>
      </c>
      <c r="AY27" s="107">
        <f t="shared" si="3"/>
        <v>0</v>
      </c>
      <c r="AZ27" s="107">
        <f t="shared" si="3"/>
        <v>0</v>
      </c>
      <c r="BA27" s="107">
        <f t="shared" si="3"/>
        <v>0</v>
      </c>
      <c r="BB27" s="107">
        <f t="shared" si="3"/>
        <v>0</v>
      </c>
      <c r="BC27" s="107">
        <f t="shared" si="3"/>
        <v>0</v>
      </c>
      <c r="BD27" s="107">
        <f t="shared" si="3"/>
        <v>0</v>
      </c>
      <c r="BE27" s="107">
        <f t="shared" si="3"/>
        <v>0</v>
      </c>
      <c r="BF27" s="107">
        <f t="shared" si="3"/>
        <v>0</v>
      </c>
      <c r="BG27" s="107">
        <f t="shared" si="3"/>
        <v>0</v>
      </c>
      <c r="BH27" s="107">
        <f t="shared" si="3"/>
        <v>0</v>
      </c>
      <c r="BI27" s="107">
        <f t="shared" si="3"/>
        <v>0</v>
      </c>
      <c r="BJ27" s="107">
        <f t="shared" si="3"/>
        <v>0</v>
      </c>
      <c r="BK27" s="107">
        <f t="shared" si="3"/>
        <v>0</v>
      </c>
      <c r="BL27" s="107">
        <f t="shared" si="3"/>
        <v>0</v>
      </c>
      <c r="BM27" s="107">
        <f t="shared" si="3"/>
        <v>0</v>
      </c>
      <c r="BN27" s="107">
        <f t="shared" si="3"/>
        <v>0</v>
      </c>
      <c r="BO27" s="107">
        <f t="shared" si="3"/>
        <v>0</v>
      </c>
      <c r="BP27" s="107">
        <f t="shared" si="3"/>
        <v>0</v>
      </c>
      <c r="BQ27" s="107">
        <f t="shared" si="3"/>
        <v>0</v>
      </c>
      <c r="BR27" s="107">
        <f t="shared" si="3"/>
        <v>0</v>
      </c>
      <c r="BS27" s="107">
        <f t="shared" si="3"/>
        <v>0</v>
      </c>
      <c r="BT27" s="107">
        <f t="shared" si="3"/>
        <v>0</v>
      </c>
      <c r="BU27" s="107">
        <f t="shared" si="3"/>
        <v>0</v>
      </c>
      <c r="BV27" s="107">
        <f t="shared" si="3"/>
        <v>0</v>
      </c>
      <c r="BW27" s="107">
        <f t="shared" si="3"/>
        <v>0</v>
      </c>
      <c r="BX27" s="107">
        <f t="shared" si="3"/>
        <v>0</v>
      </c>
      <c r="BY27" s="107">
        <f t="shared" si="3"/>
        <v>0</v>
      </c>
      <c r="BZ27" s="107">
        <f t="shared" si="3"/>
        <v>0</v>
      </c>
      <c r="CA27" s="107">
        <f t="shared" si="3"/>
        <v>0</v>
      </c>
      <c r="CB27" s="107">
        <f t="shared" si="3"/>
        <v>0</v>
      </c>
      <c r="CC27" s="107">
        <f t="shared" si="3"/>
        <v>0</v>
      </c>
      <c r="CD27" s="107">
        <f t="shared" ref="CD27:CW27" si="4">SUM(CD20:CD26)</f>
        <v>0</v>
      </c>
      <c r="CE27" s="107">
        <f t="shared" si="4"/>
        <v>0</v>
      </c>
      <c r="CF27" s="107">
        <f t="shared" si="4"/>
        <v>0</v>
      </c>
      <c r="CG27" s="107">
        <f t="shared" si="4"/>
        <v>0</v>
      </c>
      <c r="CH27" s="107">
        <f t="shared" si="4"/>
        <v>0</v>
      </c>
      <c r="CI27" s="107">
        <f t="shared" si="4"/>
        <v>0</v>
      </c>
      <c r="CJ27" s="107">
        <f t="shared" si="4"/>
        <v>0</v>
      </c>
      <c r="CK27" s="107">
        <f t="shared" si="4"/>
        <v>0</v>
      </c>
      <c r="CL27" s="107">
        <f t="shared" si="4"/>
        <v>0</v>
      </c>
      <c r="CM27" s="107">
        <f t="shared" si="4"/>
        <v>0</v>
      </c>
      <c r="CN27" s="107">
        <f t="shared" si="4"/>
        <v>0</v>
      </c>
      <c r="CO27" s="107">
        <f t="shared" si="4"/>
        <v>0</v>
      </c>
      <c r="CP27" s="107">
        <f t="shared" si="4"/>
        <v>0</v>
      </c>
      <c r="CQ27" s="107">
        <f t="shared" si="4"/>
        <v>0</v>
      </c>
      <c r="CR27" s="107">
        <f t="shared" si="4"/>
        <v>0</v>
      </c>
      <c r="CS27" s="107">
        <f t="shared" si="4"/>
        <v>0</v>
      </c>
      <c r="CT27" s="108">
        <f t="shared" si="4"/>
        <v>0</v>
      </c>
      <c r="CU27" s="108">
        <f t="shared" si="4"/>
        <v>0</v>
      </c>
      <c r="CV27" s="108">
        <f t="shared" si="4"/>
        <v>0</v>
      </c>
      <c r="CW27" s="109">
        <f t="shared" si="4"/>
        <v>0</v>
      </c>
      <c r="CX27" s="110">
        <f>SUM(CX20:CX26)</f>
        <v>0</v>
      </c>
    </row>
    <row r="28" spans="1:102" ht="18" customHeight="1" thickBot="1" x14ac:dyDescent="0.25">
      <c r="A28" s="81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4"/>
    </row>
    <row r="29" spans="1:102" ht="30" customHeight="1" thickBot="1" x14ac:dyDescent="0.25">
      <c r="A29" s="85" t="s">
        <v>24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50"/>
      <c r="CX29" s="18" t="s">
        <v>1</v>
      </c>
    </row>
    <row r="30" spans="1:102" ht="24.95" customHeight="1" x14ac:dyDescent="0.2">
      <c r="A30" s="86" t="s">
        <v>25</v>
      </c>
      <c r="B30" s="87">
        <v>1676.9</v>
      </c>
      <c r="C30" s="88">
        <v>1689.9</v>
      </c>
      <c r="D30" s="88">
        <v>1702.9</v>
      </c>
      <c r="E30" s="88">
        <v>1716.9</v>
      </c>
      <c r="F30" s="88">
        <v>1738.9</v>
      </c>
      <c r="G30" s="88">
        <v>1751.9</v>
      </c>
      <c r="H30" s="88">
        <v>1765.9</v>
      </c>
      <c r="I30" s="88">
        <v>1779.9</v>
      </c>
      <c r="J30" s="88">
        <v>1803.9</v>
      </c>
      <c r="K30" s="88">
        <v>1816.9</v>
      </c>
      <c r="L30" s="88">
        <v>1827.9</v>
      </c>
      <c r="M30" s="88">
        <v>1838.9</v>
      </c>
      <c r="N30" s="88">
        <v>1862.9</v>
      </c>
      <c r="O30" s="88">
        <v>1866.9</v>
      </c>
      <c r="P30" s="88">
        <v>1866.9</v>
      </c>
      <c r="Q30" s="88">
        <v>1866.9</v>
      </c>
      <c r="R30" s="88">
        <v>1882.9</v>
      </c>
      <c r="S30" s="88">
        <v>1883.9</v>
      </c>
      <c r="T30" s="88">
        <v>1884.9</v>
      </c>
      <c r="U30" s="88">
        <v>1884.9</v>
      </c>
      <c r="V30" s="88">
        <v>1927.9</v>
      </c>
      <c r="W30" s="88">
        <v>1927.9</v>
      </c>
      <c r="X30" s="88">
        <v>1925.9</v>
      </c>
      <c r="Y30" s="88">
        <v>1914.9</v>
      </c>
      <c r="Z30" s="88">
        <v>1920.9</v>
      </c>
      <c r="AA30" s="88">
        <v>1915.9</v>
      </c>
      <c r="AB30" s="88">
        <v>1926.9</v>
      </c>
      <c r="AC30" s="88">
        <v>1955.9</v>
      </c>
      <c r="AD30" s="88">
        <v>2117.14</v>
      </c>
      <c r="AE30" s="88">
        <v>2193.14</v>
      </c>
      <c r="AF30" s="88">
        <v>2299.14</v>
      </c>
      <c r="AG30" s="88">
        <v>2435.14</v>
      </c>
      <c r="AH30" s="88">
        <v>2581.41</v>
      </c>
      <c r="AI30" s="88">
        <v>2731.41</v>
      </c>
      <c r="AJ30" s="88">
        <v>2866.41</v>
      </c>
      <c r="AK30" s="88">
        <v>2986.41</v>
      </c>
      <c r="AL30" s="88">
        <v>3056.34</v>
      </c>
      <c r="AM30" s="88">
        <v>3146.34</v>
      </c>
      <c r="AN30" s="88">
        <v>3222.34</v>
      </c>
      <c r="AO30" s="88">
        <v>3284.34</v>
      </c>
      <c r="AP30" s="88">
        <v>3344.53</v>
      </c>
      <c r="AQ30" s="88">
        <v>3377.53</v>
      </c>
      <c r="AR30" s="88">
        <v>3396.53</v>
      </c>
      <c r="AS30" s="88">
        <v>3396.53</v>
      </c>
      <c r="AT30" s="88">
        <v>3352.93</v>
      </c>
      <c r="AU30" s="88">
        <v>3335.93</v>
      </c>
      <c r="AV30" s="88">
        <v>3310.93</v>
      </c>
      <c r="AW30" s="88">
        <v>3278.93</v>
      </c>
      <c r="AX30" s="88">
        <v>3245.68</v>
      </c>
      <c r="AY30" s="88">
        <v>3195.68</v>
      </c>
      <c r="AZ30" s="88">
        <v>3135.68</v>
      </c>
      <c r="BA30" s="88">
        <v>3065.68</v>
      </c>
      <c r="BB30" s="88">
        <v>2959.68</v>
      </c>
      <c r="BC30" s="88">
        <v>2864.68</v>
      </c>
      <c r="BD30" s="88">
        <v>2755.68</v>
      </c>
      <c r="BE30" s="88">
        <v>2631.68</v>
      </c>
      <c r="BF30" s="88">
        <v>2486.86</v>
      </c>
      <c r="BG30" s="88">
        <v>2334.86</v>
      </c>
      <c r="BH30" s="88">
        <v>2168.86</v>
      </c>
      <c r="BI30" s="88">
        <v>1988.86</v>
      </c>
      <c r="BJ30" s="88">
        <v>1813.44</v>
      </c>
      <c r="BK30" s="88">
        <v>1768.44</v>
      </c>
      <c r="BL30" s="88">
        <v>1631.44</v>
      </c>
      <c r="BM30" s="88">
        <v>1524.44</v>
      </c>
      <c r="BN30" s="88">
        <v>1426.9</v>
      </c>
      <c r="BO30" s="88">
        <v>1375.9</v>
      </c>
      <c r="BP30" s="88">
        <v>1348.9</v>
      </c>
      <c r="BQ30" s="88">
        <v>1541.9</v>
      </c>
      <c r="BR30" s="88">
        <v>1590.9</v>
      </c>
      <c r="BS30" s="88">
        <v>1710.9</v>
      </c>
      <c r="BT30" s="88">
        <v>1918.9</v>
      </c>
      <c r="BU30" s="88">
        <v>1922.9</v>
      </c>
      <c r="BV30" s="88">
        <v>2010.9</v>
      </c>
      <c r="BW30" s="88">
        <v>2010.9</v>
      </c>
      <c r="BX30" s="88">
        <v>2050.9</v>
      </c>
      <c r="BY30" s="88">
        <v>2053.9</v>
      </c>
      <c r="BZ30" s="88">
        <v>1906.9</v>
      </c>
      <c r="CA30" s="88">
        <v>1909.9</v>
      </c>
      <c r="CB30" s="88">
        <v>1657.9</v>
      </c>
      <c r="CC30" s="88">
        <v>1572.9</v>
      </c>
      <c r="CD30" s="88">
        <v>1405.9</v>
      </c>
      <c r="CE30" s="88">
        <v>1355.9</v>
      </c>
      <c r="CF30" s="88">
        <v>1361.9</v>
      </c>
      <c r="CG30" s="88">
        <v>1367.9</v>
      </c>
      <c r="CH30" s="88">
        <v>1355.9</v>
      </c>
      <c r="CI30" s="88">
        <v>1360.9</v>
      </c>
      <c r="CJ30" s="88">
        <v>1368.9</v>
      </c>
      <c r="CK30" s="88">
        <v>1376.9</v>
      </c>
      <c r="CL30" s="88">
        <v>1346.9</v>
      </c>
      <c r="CM30" s="88">
        <v>1356.9</v>
      </c>
      <c r="CN30" s="88">
        <v>1367.9</v>
      </c>
      <c r="CO30" s="88">
        <v>1378.9</v>
      </c>
      <c r="CP30" s="88">
        <v>1369.9</v>
      </c>
      <c r="CQ30" s="88">
        <v>1380.9</v>
      </c>
      <c r="CR30" s="88">
        <v>1271.9000000000001</v>
      </c>
      <c r="CS30" s="88">
        <v>1281.9000000000001</v>
      </c>
      <c r="CT30" s="89"/>
      <c r="CU30" s="89"/>
      <c r="CV30" s="89"/>
      <c r="CW30" s="90"/>
      <c r="CX30" s="91">
        <f t="array" ref="CX30">SUMPRODUCT(B30:CW30*0.25)</f>
        <v>50133.259999999929</v>
      </c>
    </row>
    <row r="31" spans="1:102" ht="24.95" customHeight="1" x14ac:dyDescent="0.2">
      <c r="A31" s="92" t="s">
        <v>26</v>
      </c>
      <c r="B31" s="93">
        <v>2849.6379999999999</v>
      </c>
      <c r="C31" s="94">
        <v>2770.1559999999999</v>
      </c>
      <c r="D31" s="94">
        <v>2562.83</v>
      </c>
      <c r="E31" s="94">
        <v>2331.1030000000001</v>
      </c>
      <c r="F31" s="94">
        <v>2798.97</v>
      </c>
      <c r="G31" s="94">
        <v>2531.3910000000001</v>
      </c>
      <c r="H31" s="94">
        <v>2409.777</v>
      </c>
      <c r="I31" s="94">
        <v>2373.3040000000001</v>
      </c>
      <c r="J31" s="94">
        <v>2482.6799999999998</v>
      </c>
      <c r="K31" s="94">
        <v>2315.5120000000002</v>
      </c>
      <c r="L31" s="94">
        <v>2268.462</v>
      </c>
      <c r="M31" s="94">
        <v>1952.9849999999999</v>
      </c>
      <c r="N31" s="94">
        <v>2187.0810000000001</v>
      </c>
      <c r="O31" s="94">
        <v>1940.835</v>
      </c>
      <c r="P31" s="94">
        <v>1849.7739999999999</v>
      </c>
      <c r="Q31" s="94">
        <v>1915.471</v>
      </c>
      <c r="R31" s="94">
        <v>1695.7080000000001</v>
      </c>
      <c r="S31" s="94">
        <v>1687.742</v>
      </c>
      <c r="T31" s="94">
        <v>1772.2670000000001</v>
      </c>
      <c r="U31" s="94">
        <v>1770.925</v>
      </c>
      <c r="V31" s="94">
        <v>1687.587</v>
      </c>
      <c r="W31" s="94">
        <v>1693.261</v>
      </c>
      <c r="X31" s="94">
        <v>1841.184</v>
      </c>
      <c r="Y31" s="94">
        <v>2014.433</v>
      </c>
      <c r="Z31" s="94">
        <v>1810.998</v>
      </c>
      <c r="AA31" s="94">
        <v>1957.3140000000001</v>
      </c>
      <c r="AB31" s="94">
        <v>2083.8019999999997</v>
      </c>
      <c r="AC31" s="94">
        <v>2217.1660000000002</v>
      </c>
      <c r="AD31" s="94">
        <v>2254.9229999999998</v>
      </c>
      <c r="AE31" s="94">
        <v>2125.9430000000002</v>
      </c>
      <c r="AF31" s="94">
        <v>2273.2150000000001</v>
      </c>
      <c r="AG31" s="94">
        <v>2619.3159999999998</v>
      </c>
      <c r="AH31" s="94">
        <v>2951.9720000000002</v>
      </c>
      <c r="AI31" s="94">
        <v>3322.067</v>
      </c>
      <c r="AJ31" s="94">
        <v>3697.2310000000002</v>
      </c>
      <c r="AK31" s="94">
        <v>4030.788</v>
      </c>
      <c r="AL31" s="94">
        <v>4285</v>
      </c>
      <c r="AM31" s="94">
        <v>4522.2449999999999</v>
      </c>
      <c r="AN31" s="94">
        <v>4679.4470000000001</v>
      </c>
      <c r="AO31" s="94">
        <v>4896.3180000000002</v>
      </c>
      <c r="AP31" s="94">
        <v>5031.366</v>
      </c>
      <c r="AQ31" s="94">
        <v>5081.2870000000003</v>
      </c>
      <c r="AR31" s="94">
        <v>5159.99</v>
      </c>
      <c r="AS31" s="94">
        <v>5168.8270000000002</v>
      </c>
      <c r="AT31" s="94">
        <v>5181.1289999999999</v>
      </c>
      <c r="AU31" s="94">
        <v>5147.5159999999996</v>
      </c>
      <c r="AV31" s="94">
        <v>5095.2449999999999</v>
      </c>
      <c r="AW31" s="94">
        <v>5048.3050000000003</v>
      </c>
      <c r="AX31" s="94">
        <v>5001.4359999999997</v>
      </c>
      <c r="AY31" s="94">
        <v>4894.6229999999996</v>
      </c>
      <c r="AZ31" s="94">
        <v>4793.5820000000003</v>
      </c>
      <c r="BA31" s="94">
        <v>4663.0280000000002</v>
      </c>
      <c r="BB31" s="94">
        <v>4472.9989999999998</v>
      </c>
      <c r="BC31" s="94">
        <v>4292.1890000000003</v>
      </c>
      <c r="BD31" s="94">
        <v>4056.2469999999998</v>
      </c>
      <c r="BE31" s="94">
        <v>3784.163</v>
      </c>
      <c r="BF31" s="94">
        <v>3538.605</v>
      </c>
      <c r="BG31" s="94">
        <v>3178.3510000000001</v>
      </c>
      <c r="BH31" s="94">
        <v>2791.0349999999999</v>
      </c>
      <c r="BI31" s="94">
        <v>2659.9630000000002</v>
      </c>
      <c r="BJ31" s="94">
        <v>2282.2820000000002</v>
      </c>
      <c r="BK31" s="94">
        <v>2227.5619999999999</v>
      </c>
      <c r="BL31" s="94">
        <v>2457.8850000000002</v>
      </c>
      <c r="BM31" s="94">
        <v>2579.3110000000001</v>
      </c>
      <c r="BN31" s="94">
        <v>2109.83</v>
      </c>
      <c r="BO31" s="94">
        <v>2122.4789999999998</v>
      </c>
      <c r="BP31" s="94">
        <v>2339.3910000000001</v>
      </c>
      <c r="BQ31" s="94">
        <v>2197.768</v>
      </c>
      <c r="BR31" s="94">
        <v>2312.6590000000001</v>
      </c>
      <c r="BS31" s="94">
        <v>2294.665</v>
      </c>
      <c r="BT31" s="94">
        <v>2142.8270000000002</v>
      </c>
      <c r="BU31" s="94">
        <v>2169.5929999999998</v>
      </c>
      <c r="BV31" s="94">
        <v>2155.14</v>
      </c>
      <c r="BW31" s="94">
        <v>2160.6120000000001</v>
      </c>
      <c r="BX31" s="94">
        <v>2188.509</v>
      </c>
      <c r="BY31" s="94">
        <v>2159.8679999999999</v>
      </c>
      <c r="BZ31" s="94">
        <v>2111.6480000000001</v>
      </c>
      <c r="CA31" s="94">
        <v>2110.1149999999998</v>
      </c>
      <c r="CB31" s="94">
        <v>2272.261</v>
      </c>
      <c r="CC31" s="94">
        <v>2238.6819999999998</v>
      </c>
      <c r="CD31" s="94">
        <v>2174.1759999999999</v>
      </c>
      <c r="CE31" s="94">
        <v>2152.2130000000002</v>
      </c>
      <c r="CF31" s="94">
        <v>2067.1990000000001</v>
      </c>
      <c r="CG31" s="94">
        <v>2034.836</v>
      </c>
      <c r="CH31" s="94">
        <v>2161.107</v>
      </c>
      <c r="CI31" s="94">
        <v>2081.5129999999999</v>
      </c>
      <c r="CJ31" s="94">
        <v>2040.7760000000001</v>
      </c>
      <c r="CK31" s="94">
        <v>1960.6769999999999</v>
      </c>
      <c r="CL31" s="94">
        <v>2094.2060000000001</v>
      </c>
      <c r="CM31" s="94">
        <v>2188.279</v>
      </c>
      <c r="CN31" s="94">
        <v>2104.5909999999999</v>
      </c>
      <c r="CO31" s="94">
        <v>2033.0730000000001</v>
      </c>
      <c r="CP31" s="94">
        <v>2092.556</v>
      </c>
      <c r="CQ31" s="94">
        <v>1932.4280000000001</v>
      </c>
      <c r="CR31" s="94">
        <v>1806.9559999999999</v>
      </c>
      <c r="CS31" s="94">
        <v>1670.38</v>
      </c>
      <c r="CT31" s="95"/>
      <c r="CU31" s="95"/>
      <c r="CV31" s="95"/>
      <c r="CW31" s="96"/>
      <c r="CX31" s="97">
        <f t="array" ref="CX31">SUMPRODUCT(B31:CW31*0.25)</f>
        <v>66924.689999999988</v>
      </c>
    </row>
    <row r="32" spans="1:102" ht="24.95" customHeight="1" x14ac:dyDescent="0.2">
      <c r="A32" s="101" t="s">
        <v>27</v>
      </c>
      <c r="B32" s="98">
        <v>2382</v>
      </c>
      <c r="C32" s="99">
        <v>2382</v>
      </c>
      <c r="D32" s="99">
        <v>2264</v>
      </c>
      <c r="E32" s="99">
        <v>2173</v>
      </c>
      <c r="F32" s="99">
        <v>2082</v>
      </c>
      <c r="G32" s="99">
        <v>2082</v>
      </c>
      <c r="H32" s="99">
        <v>2082</v>
      </c>
      <c r="I32" s="99">
        <v>2082</v>
      </c>
      <c r="J32" s="99">
        <v>1942</v>
      </c>
      <c r="K32" s="99">
        <v>1862</v>
      </c>
      <c r="L32" s="99">
        <v>1782</v>
      </c>
      <c r="M32" s="99">
        <v>1782</v>
      </c>
      <c r="N32" s="99">
        <v>1782</v>
      </c>
      <c r="O32" s="99">
        <v>1782</v>
      </c>
      <c r="P32" s="99">
        <v>1782</v>
      </c>
      <c r="Q32" s="99">
        <v>1782</v>
      </c>
      <c r="R32" s="99">
        <v>1682</v>
      </c>
      <c r="S32" s="99">
        <v>1682</v>
      </c>
      <c r="T32" s="99">
        <v>1682</v>
      </c>
      <c r="U32" s="99">
        <v>1682</v>
      </c>
      <c r="V32" s="99">
        <v>1682</v>
      </c>
      <c r="W32" s="99">
        <v>1682</v>
      </c>
      <c r="X32" s="99">
        <v>1682</v>
      </c>
      <c r="Y32" s="99">
        <v>1682</v>
      </c>
      <c r="Z32" s="99">
        <v>1433</v>
      </c>
      <c r="AA32" s="99">
        <v>1433</v>
      </c>
      <c r="AB32" s="99">
        <v>1433</v>
      </c>
      <c r="AC32" s="99">
        <v>1433</v>
      </c>
      <c r="AD32" s="99">
        <v>1433</v>
      </c>
      <c r="AE32" s="99">
        <v>1433</v>
      </c>
      <c r="AF32" s="99">
        <v>1433</v>
      </c>
      <c r="AG32" s="99">
        <v>1433</v>
      </c>
      <c r="AH32" s="99">
        <v>1299</v>
      </c>
      <c r="AI32" s="99">
        <v>1299</v>
      </c>
      <c r="AJ32" s="99">
        <v>1299</v>
      </c>
      <c r="AK32" s="99">
        <v>1230</v>
      </c>
      <c r="AL32" s="99">
        <v>875</v>
      </c>
      <c r="AM32" s="99">
        <v>750.83299999999997</v>
      </c>
      <c r="AN32" s="99">
        <v>626.66700000000003</v>
      </c>
      <c r="AO32" s="99">
        <v>570</v>
      </c>
      <c r="AP32" s="99">
        <v>570</v>
      </c>
      <c r="AQ32" s="99">
        <v>570</v>
      </c>
      <c r="AR32" s="99">
        <v>570</v>
      </c>
      <c r="AS32" s="99">
        <v>570</v>
      </c>
      <c r="AT32" s="99">
        <v>570</v>
      </c>
      <c r="AU32" s="99">
        <v>570</v>
      </c>
      <c r="AV32" s="99">
        <v>570</v>
      </c>
      <c r="AW32" s="99">
        <v>570</v>
      </c>
      <c r="AX32" s="99">
        <v>570</v>
      </c>
      <c r="AY32" s="99">
        <v>570</v>
      </c>
      <c r="AZ32" s="99">
        <v>570</v>
      </c>
      <c r="BA32" s="99">
        <v>570</v>
      </c>
      <c r="BB32" s="99">
        <v>655</v>
      </c>
      <c r="BC32" s="99">
        <v>730</v>
      </c>
      <c r="BD32" s="99">
        <v>1000</v>
      </c>
      <c r="BE32" s="99">
        <v>1085</v>
      </c>
      <c r="BF32" s="99">
        <v>1325</v>
      </c>
      <c r="BG32" s="99">
        <v>1469</v>
      </c>
      <c r="BH32" s="99">
        <v>1544</v>
      </c>
      <c r="BI32" s="99">
        <v>1584</v>
      </c>
      <c r="BJ32" s="99">
        <v>1834</v>
      </c>
      <c r="BK32" s="99">
        <v>1964</v>
      </c>
      <c r="BL32" s="99">
        <v>2014</v>
      </c>
      <c r="BM32" s="99">
        <v>2104</v>
      </c>
      <c r="BN32" s="99">
        <v>2154</v>
      </c>
      <c r="BO32" s="99">
        <v>2154</v>
      </c>
      <c r="BP32" s="99">
        <v>2154</v>
      </c>
      <c r="BQ32" s="99">
        <v>2154</v>
      </c>
      <c r="BR32" s="99">
        <v>2154</v>
      </c>
      <c r="BS32" s="99">
        <v>2154</v>
      </c>
      <c r="BT32" s="99">
        <v>2154</v>
      </c>
      <c r="BU32" s="99">
        <v>2154</v>
      </c>
      <c r="BV32" s="99">
        <v>2154</v>
      </c>
      <c r="BW32" s="99">
        <v>2154</v>
      </c>
      <c r="BX32" s="99">
        <v>2154</v>
      </c>
      <c r="BY32" s="99">
        <v>2154</v>
      </c>
      <c r="BZ32" s="99">
        <v>2154</v>
      </c>
      <c r="CA32" s="99">
        <v>2154</v>
      </c>
      <c r="CB32" s="99">
        <v>2154</v>
      </c>
      <c r="CC32" s="99">
        <v>2154</v>
      </c>
      <c r="CD32" s="99">
        <v>2154</v>
      </c>
      <c r="CE32" s="99">
        <v>2154</v>
      </c>
      <c r="CF32" s="99">
        <v>2154</v>
      </c>
      <c r="CG32" s="99">
        <v>2154</v>
      </c>
      <c r="CH32" s="99">
        <v>2154</v>
      </c>
      <c r="CI32" s="99">
        <v>2154</v>
      </c>
      <c r="CJ32" s="99">
        <v>2154</v>
      </c>
      <c r="CK32" s="99">
        <v>2154</v>
      </c>
      <c r="CL32" s="99">
        <v>2104</v>
      </c>
      <c r="CM32" s="99">
        <v>2104</v>
      </c>
      <c r="CN32" s="99">
        <v>2104</v>
      </c>
      <c r="CO32" s="99">
        <v>2104</v>
      </c>
      <c r="CP32" s="99">
        <v>2054</v>
      </c>
      <c r="CQ32" s="99">
        <v>2054</v>
      </c>
      <c r="CR32" s="99">
        <v>2154</v>
      </c>
      <c r="CS32" s="99">
        <v>2154</v>
      </c>
      <c r="CT32" s="100"/>
      <c r="CU32" s="100"/>
      <c r="CV32" s="100"/>
      <c r="CW32" s="102"/>
      <c r="CX32" s="103">
        <f t="array" ref="CX32">SUMPRODUCT(B32:CW32*0.25)</f>
        <v>39392.625</v>
      </c>
    </row>
    <row r="33" spans="1:102" ht="30" customHeight="1" thickBot="1" x14ac:dyDescent="0.25">
      <c r="A33" s="75" t="s">
        <v>28</v>
      </c>
      <c r="B33" s="76">
        <f>SUM(B30:B32)</f>
        <v>6908.5380000000005</v>
      </c>
      <c r="C33" s="77">
        <f t="shared" ref="C33:BN33" si="5">SUM(C30:C32)</f>
        <v>6842.0560000000005</v>
      </c>
      <c r="D33" s="77">
        <f t="shared" si="5"/>
        <v>6529.73</v>
      </c>
      <c r="E33" s="77">
        <f t="shared" si="5"/>
        <v>6221.0030000000006</v>
      </c>
      <c r="F33" s="77">
        <f t="shared" si="5"/>
        <v>6619.87</v>
      </c>
      <c r="G33" s="77">
        <f t="shared" si="5"/>
        <v>6365.2910000000002</v>
      </c>
      <c r="H33" s="77">
        <f t="shared" si="5"/>
        <v>6257.6769999999997</v>
      </c>
      <c r="I33" s="77">
        <f t="shared" si="5"/>
        <v>6235.2039999999997</v>
      </c>
      <c r="J33" s="77">
        <f t="shared" si="5"/>
        <v>6228.58</v>
      </c>
      <c r="K33" s="77">
        <f t="shared" si="5"/>
        <v>5994.4120000000003</v>
      </c>
      <c r="L33" s="77">
        <f t="shared" si="5"/>
        <v>5878.3620000000001</v>
      </c>
      <c r="M33" s="77">
        <f t="shared" si="5"/>
        <v>5573.8850000000002</v>
      </c>
      <c r="N33" s="77">
        <f t="shared" si="5"/>
        <v>5831.9809999999998</v>
      </c>
      <c r="O33" s="77">
        <f t="shared" si="5"/>
        <v>5589.7350000000006</v>
      </c>
      <c r="P33" s="77">
        <f t="shared" si="5"/>
        <v>5498.674</v>
      </c>
      <c r="Q33" s="77">
        <f t="shared" si="5"/>
        <v>5564.3710000000001</v>
      </c>
      <c r="R33" s="77">
        <f t="shared" si="5"/>
        <v>5260.6080000000002</v>
      </c>
      <c r="S33" s="77">
        <f t="shared" si="5"/>
        <v>5253.6419999999998</v>
      </c>
      <c r="T33" s="77">
        <f t="shared" si="5"/>
        <v>5339.1670000000004</v>
      </c>
      <c r="U33" s="77">
        <f t="shared" si="5"/>
        <v>5337.8249999999998</v>
      </c>
      <c r="V33" s="77">
        <f t="shared" si="5"/>
        <v>5297.4870000000001</v>
      </c>
      <c r="W33" s="77">
        <f t="shared" si="5"/>
        <v>5303.1610000000001</v>
      </c>
      <c r="X33" s="77">
        <f t="shared" si="5"/>
        <v>5449.0839999999998</v>
      </c>
      <c r="Y33" s="77">
        <f t="shared" si="5"/>
        <v>5611.3330000000005</v>
      </c>
      <c r="Z33" s="77">
        <f t="shared" si="5"/>
        <v>5164.8980000000001</v>
      </c>
      <c r="AA33" s="77">
        <f t="shared" si="5"/>
        <v>5306.2139999999999</v>
      </c>
      <c r="AB33" s="77">
        <f t="shared" si="5"/>
        <v>5443.7019999999993</v>
      </c>
      <c r="AC33" s="77">
        <f t="shared" si="5"/>
        <v>5606.0660000000007</v>
      </c>
      <c r="AD33" s="77">
        <f t="shared" si="5"/>
        <v>5805.0630000000001</v>
      </c>
      <c r="AE33" s="77">
        <f t="shared" si="5"/>
        <v>5752.0830000000005</v>
      </c>
      <c r="AF33" s="77">
        <f t="shared" si="5"/>
        <v>6005.3549999999996</v>
      </c>
      <c r="AG33" s="77">
        <f t="shared" si="5"/>
        <v>6487.4560000000001</v>
      </c>
      <c r="AH33" s="77">
        <f t="shared" si="5"/>
        <v>6832.3819999999996</v>
      </c>
      <c r="AI33" s="77">
        <f t="shared" si="5"/>
        <v>7352.4769999999999</v>
      </c>
      <c r="AJ33" s="77">
        <f t="shared" si="5"/>
        <v>7862.6409999999996</v>
      </c>
      <c r="AK33" s="77">
        <f t="shared" si="5"/>
        <v>8247.1980000000003</v>
      </c>
      <c r="AL33" s="77">
        <f t="shared" si="5"/>
        <v>8216.34</v>
      </c>
      <c r="AM33" s="77">
        <f t="shared" si="5"/>
        <v>8419.4179999999997</v>
      </c>
      <c r="AN33" s="77">
        <f t="shared" si="5"/>
        <v>8528.4539999999997</v>
      </c>
      <c r="AO33" s="77">
        <f t="shared" si="5"/>
        <v>8750.6579999999994</v>
      </c>
      <c r="AP33" s="77">
        <f t="shared" si="5"/>
        <v>8945.8960000000006</v>
      </c>
      <c r="AQ33" s="77">
        <f t="shared" si="5"/>
        <v>9028.8170000000009</v>
      </c>
      <c r="AR33" s="77">
        <f t="shared" si="5"/>
        <v>9126.52</v>
      </c>
      <c r="AS33" s="77">
        <f t="shared" si="5"/>
        <v>9135.357</v>
      </c>
      <c r="AT33" s="77">
        <f t="shared" si="5"/>
        <v>9104.0589999999993</v>
      </c>
      <c r="AU33" s="77">
        <f t="shared" si="5"/>
        <v>9053.4459999999999</v>
      </c>
      <c r="AV33" s="77">
        <f t="shared" si="5"/>
        <v>8976.1749999999993</v>
      </c>
      <c r="AW33" s="77">
        <f t="shared" si="5"/>
        <v>8897.2350000000006</v>
      </c>
      <c r="AX33" s="77">
        <f t="shared" si="5"/>
        <v>8817.116</v>
      </c>
      <c r="AY33" s="77">
        <f t="shared" si="5"/>
        <v>8660.3029999999999</v>
      </c>
      <c r="AZ33" s="77">
        <f t="shared" si="5"/>
        <v>8499.2620000000006</v>
      </c>
      <c r="BA33" s="77">
        <f t="shared" si="5"/>
        <v>8298.7080000000005</v>
      </c>
      <c r="BB33" s="77">
        <f t="shared" si="5"/>
        <v>8087.6790000000001</v>
      </c>
      <c r="BC33" s="77">
        <f t="shared" si="5"/>
        <v>7886.8690000000006</v>
      </c>
      <c r="BD33" s="77">
        <f t="shared" si="5"/>
        <v>7811.9269999999997</v>
      </c>
      <c r="BE33" s="77">
        <f t="shared" si="5"/>
        <v>7500.8429999999998</v>
      </c>
      <c r="BF33" s="77">
        <f t="shared" si="5"/>
        <v>7350.4650000000001</v>
      </c>
      <c r="BG33" s="77">
        <f t="shared" si="5"/>
        <v>6982.2110000000002</v>
      </c>
      <c r="BH33" s="77">
        <f t="shared" si="5"/>
        <v>6503.8950000000004</v>
      </c>
      <c r="BI33" s="77">
        <f t="shared" si="5"/>
        <v>6232.8230000000003</v>
      </c>
      <c r="BJ33" s="77">
        <f t="shared" si="5"/>
        <v>5929.7219999999998</v>
      </c>
      <c r="BK33" s="77">
        <f t="shared" si="5"/>
        <v>5960.0020000000004</v>
      </c>
      <c r="BL33" s="77">
        <f t="shared" si="5"/>
        <v>6103.3250000000007</v>
      </c>
      <c r="BM33" s="77">
        <f t="shared" si="5"/>
        <v>6207.7510000000002</v>
      </c>
      <c r="BN33" s="77">
        <f t="shared" si="5"/>
        <v>5690.73</v>
      </c>
      <c r="BO33" s="77">
        <f t="shared" ref="BO33:CW33" si="6">SUM(BO30:BO32)</f>
        <v>5652.3789999999999</v>
      </c>
      <c r="BP33" s="77">
        <f t="shared" si="6"/>
        <v>5842.2910000000002</v>
      </c>
      <c r="BQ33" s="77">
        <f t="shared" si="6"/>
        <v>5893.6679999999997</v>
      </c>
      <c r="BR33" s="77">
        <f t="shared" si="6"/>
        <v>6057.5590000000002</v>
      </c>
      <c r="BS33" s="77">
        <f t="shared" si="6"/>
        <v>6159.5650000000005</v>
      </c>
      <c r="BT33" s="77">
        <f t="shared" si="6"/>
        <v>6215.7270000000008</v>
      </c>
      <c r="BU33" s="77">
        <f t="shared" si="6"/>
        <v>6246.4930000000004</v>
      </c>
      <c r="BV33" s="77">
        <f t="shared" si="6"/>
        <v>6320.04</v>
      </c>
      <c r="BW33" s="77">
        <f t="shared" si="6"/>
        <v>6325.5120000000006</v>
      </c>
      <c r="BX33" s="77">
        <f t="shared" si="6"/>
        <v>6393.4089999999997</v>
      </c>
      <c r="BY33" s="77">
        <f t="shared" si="6"/>
        <v>6367.768</v>
      </c>
      <c r="BZ33" s="77">
        <f t="shared" si="6"/>
        <v>6172.5480000000007</v>
      </c>
      <c r="CA33" s="77">
        <f t="shared" si="6"/>
        <v>6174.0149999999994</v>
      </c>
      <c r="CB33" s="77">
        <f t="shared" si="6"/>
        <v>6084.1610000000001</v>
      </c>
      <c r="CC33" s="77">
        <f t="shared" si="6"/>
        <v>5965.5820000000003</v>
      </c>
      <c r="CD33" s="77">
        <f t="shared" si="6"/>
        <v>5734.076</v>
      </c>
      <c r="CE33" s="77">
        <f t="shared" si="6"/>
        <v>5662.1130000000003</v>
      </c>
      <c r="CF33" s="77">
        <f t="shared" si="6"/>
        <v>5583.0990000000002</v>
      </c>
      <c r="CG33" s="77">
        <f t="shared" si="6"/>
        <v>5556.7359999999999</v>
      </c>
      <c r="CH33" s="77">
        <f t="shared" si="6"/>
        <v>5671.0069999999996</v>
      </c>
      <c r="CI33" s="77">
        <f t="shared" si="6"/>
        <v>5596.4130000000005</v>
      </c>
      <c r="CJ33" s="77">
        <f t="shared" si="6"/>
        <v>5563.6760000000004</v>
      </c>
      <c r="CK33" s="77">
        <f t="shared" si="6"/>
        <v>5491.5770000000002</v>
      </c>
      <c r="CL33" s="77">
        <f t="shared" si="6"/>
        <v>5545.1059999999998</v>
      </c>
      <c r="CM33" s="77">
        <f t="shared" si="6"/>
        <v>5649.1790000000001</v>
      </c>
      <c r="CN33" s="77">
        <f t="shared" si="6"/>
        <v>5576.491</v>
      </c>
      <c r="CO33" s="77">
        <f t="shared" si="6"/>
        <v>5515.973</v>
      </c>
      <c r="CP33" s="77">
        <f t="shared" si="6"/>
        <v>5516.4560000000001</v>
      </c>
      <c r="CQ33" s="77">
        <f t="shared" si="6"/>
        <v>5367.3280000000004</v>
      </c>
      <c r="CR33" s="77">
        <f t="shared" si="6"/>
        <v>5232.8559999999998</v>
      </c>
      <c r="CS33" s="77">
        <f t="shared" si="6"/>
        <v>5106.2800000000007</v>
      </c>
      <c r="CT33" s="78">
        <f t="shared" si="6"/>
        <v>0</v>
      </c>
      <c r="CU33" s="78">
        <f t="shared" si="6"/>
        <v>0</v>
      </c>
      <c r="CV33" s="78">
        <f t="shared" si="6"/>
        <v>0</v>
      </c>
      <c r="CW33" s="79">
        <f t="shared" si="6"/>
        <v>0</v>
      </c>
      <c r="CX33" s="80">
        <f>SUM(CX30:CX32)</f>
        <v>156450.57499999992</v>
      </c>
    </row>
    <row r="34" spans="1:102" ht="18" customHeight="1" thickBot="1" x14ac:dyDescent="0.25">
      <c r="A34" s="81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4"/>
    </row>
    <row r="35" spans="1:102" ht="30" customHeight="1" thickBot="1" x14ac:dyDescent="0.25">
      <c r="A35" s="47" t="s">
        <v>29</v>
      </c>
      <c r="B35" s="111">
        <v>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3"/>
    </row>
    <row r="36" spans="1:102" ht="24.95" customHeight="1" x14ac:dyDescent="0.2">
      <c r="A36" s="86" t="s">
        <v>30</v>
      </c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>
        <v>67</v>
      </c>
      <c r="BS36" s="115">
        <v>67</v>
      </c>
      <c r="BT36" s="115">
        <v>67</v>
      </c>
      <c r="BU36" s="115">
        <v>67</v>
      </c>
      <c r="BV36" s="115">
        <v>67</v>
      </c>
      <c r="BW36" s="115">
        <v>67</v>
      </c>
      <c r="BX36" s="115">
        <v>67</v>
      </c>
      <c r="BY36" s="115">
        <v>67</v>
      </c>
      <c r="BZ36" s="115">
        <v>67</v>
      </c>
      <c r="CA36" s="115">
        <v>67</v>
      </c>
      <c r="CB36" s="115">
        <v>67</v>
      </c>
      <c r="CC36" s="115">
        <v>67</v>
      </c>
      <c r="CD36" s="115"/>
      <c r="CE36" s="115"/>
      <c r="CF36" s="115"/>
      <c r="CG36" s="115"/>
      <c r="CH36" s="115"/>
      <c r="CI36" s="115"/>
      <c r="CJ36" s="115"/>
      <c r="CK36" s="115"/>
      <c r="CL36" s="115"/>
      <c r="CM36" s="115"/>
      <c r="CN36" s="115"/>
      <c r="CO36" s="115"/>
      <c r="CP36" s="115"/>
      <c r="CQ36" s="115"/>
      <c r="CR36" s="115"/>
      <c r="CS36" s="115"/>
      <c r="CT36" s="116"/>
      <c r="CU36" s="116"/>
      <c r="CV36" s="116"/>
      <c r="CW36" s="117"/>
      <c r="CX36" s="91">
        <f t="array" ref="CX36">SUMPRODUCT(B36:CW36*0.25)</f>
        <v>201</v>
      </c>
    </row>
    <row r="37" spans="1:102" ht="24.95" customHeight="1" x14ac:dyDescent="0.2">
      <c r="A37" s="118" t="s">
        <v>31</v>
      </c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>
        <v>5</v>
      </c>
      <c r="AM37" s="120">
        <v>5</v>
      </c>
      <c r="AN37" s="120">
        <v>5</v>
      </c>
      <c r="AO37" s="120">
        <v>5</v>
      </c>
      <c r="AP37" s="120">
        <v>5</v>
      </c>
      <c r="AQ37" s="120">
        <v>5</v>
      </c>
      <c r="AR37" s="120">
        <v>5</v>
      </c>
      <c r="AS37" s="120">
        <v>5</v>
      </c>
      <c r="AT37" s="120">
        <v>5</v>
      </c>
      <c r="AU37" s="120">
        <v>5</v>
      </c>
      <c r="AV37" s="120">
        <v>5</v>
      </c>
      <c r="AW37" s="120">
        <v>5</v>
      </c>
      <c r="AX37" s="120">
        <v>5</v>
      </c>
      <c r="AY37" s="120">
        <v>5</v>
      </c>
      <c r="AZ37" s="120">
        <v>5</v>
      </c>
      <c r="BA37" s="120">
        <v>5</v>
      </c>
      <c r="BB37" s="120">
        <v>5</v>
      </c>
      <c r="BC37" s="120">
        <v>5</v>
      </c>
      <c r="BD37" s="120">
        <v>5</v>
      </c>
      <c r="BE37" s="120">
        <v>5</v>
      </c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1"/>
      <c r="CX37" s="97">
        <f t="array" ref="CX37">SUMPRODUCT(B37:CW37*0.25)</f>
        <v>25</v>
      </c>
    </row>
    <row r="38" spans="1:102" ht="24.95" customHeight="1" x14ac:dyDescent="0.2">
      <c r="A38" s="118" t="s">
        <v>32</v>
      </c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120">
        <v>77.400000000000006</v>
      </c>
      <c r="M38" s="120">
        <v>384.8</v>
      </c>
      <c r="N38" s="120">
        <v>46.2</v>
      </c>
      <c r="O38" s="120">
        <v>298.2</v>
      </c>
      <c r="P38" s="120">
        <v>367.7</v>
      </c>
      <c r="Q38" s="120">
        <v>286.60000000000002</v>
      </c>
      <c r="R38" s="120">
        <v>541.5</v>
      </c>
      <c r="S38" s="120">
        <v>543.29999999999995</v>
      </c>
      <c r="T38" s="120">
        <v>470.7</v>
      </c>
      <c r="U38" s="120">
        <v>494.9</v>
      </c>
      <c r="V38" s="120">
        <v>576.29999999999995</v>
      </c>
      <c r="W38" s="120">
        <v>602.29999999999995</v>
      </c>
      <c r="X38" s="120">
        <v>502.8</v>
      </c>
      <c r="Y38" s="120">
        <v>396.5</v>
      </c>
      <c r="Z38" s="120">
        <v>948.3</v>
      </c>
      <c r="AA38" s="120">
        <v>865</v>
      </c>
      <c r="AB38" s="120">
        <v>800.7</v>
      </c>
      <c r="AC38" s="120">
        <v>708.5</v>
      </c>
      <c r="AD38" s="120">
        <v>659.4</v>
      </c>
      <c r="AE38" s="120">
        <v>835.5</v>
      </c>
      <c r="AF38" s="120">
        <v>713.4</v>
      </c>
      <c r="AG38" s="120">
        <v>436.1</v>
      </c>
      <c r="AH38" s="120">
        <v>336.7</v>
      </c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>
        <v>246.6</v>
      </c>
      <c r="BF38" s="120">
        <v>99.5</v>
      </c>
      <c r="BG38" s="120">
        <v>423.1</v>
      </c>
      <c r="BH38" s="120">
        <v>869.6</v>
      </c>
      <c r="BI38" s="120">
        <v>1067.5999999999999</v>
      </c>
      <c r="BJ38" s="120">
        <v>1411</v>
      </c>
      <c r="BK38" s="120">
        <v>1411</v>
      </c>
      <c r="BL38" s="120">
        <v>1327.5</v>
      </c>
      <c r="BM38" s="120">
        <v>1211.2</v>
      </c>
      <c r="BN38" s="120">
        <v>1201.8</v>
      </c>
      <c r="BO38" s="120">
        <v>1368.7</v>
      </c>
      <c r="BP38" s="120">
        <v>1330.8</v>
      </c>
      <c r="BQ38" s="120">
        <v>1411</v>
      </c>
      <c r="BR38" s="120">
        <v>1411</v>
      </c>
      <c r="BS38" s="120">
        <v>1402.2</v>
      </c>
      <c r="BT38" s="120">
        <v>1411</v>
      </c>
      <c r="BU38" s="120">
        <v>1411</v>
      </c>
      <c r="BV38" s="120">
        <v>1411</v>
      </c>
      <c r="BW38" s="120">
        <v>1411</v>
      </c>
      <c r="BX38" s="120">
        <v>1386.7</v>
      </c>
      <c r="BY38" s="120">
        <v>1411</v>
      </c>
      <c r="BZ38" s="120">
        <v>1411</v>
      </c>
      <c r="CA38" s="120">
        <v>1393.9</v>
      </c>
      <c r="CB38" s="120">
        <v>1411</v>
      </c>
      <c r="CC38" s="120">
        <v>1411</v>
      </c>
      <c r="CD38" s="120">
        <v>1411</v>
      </c>
      <c r="CE38" s="120">
        <v>1411</v>
      </c>
      <c r="CF38" s="120">
        <v>1411</v>
      </c>
      <c r="CG38" s="120">
        <v>1397.3</v>
      </c>
      <c r="CH38" s="120">
        <v>1411</v>
      </c>
      <c r="CI38" s="120">
        <v>1411</v>
      </c>
      <c r="CJ38" s="120">
        <v>1411</v>
      </c>
      <c r="CK38" s="120">
        <v>1411</v>
      </c>
      <c r="CL38" s="120">
        <v>1411</v>
      </c>
      <c r="CM38" s="120">
        <v>1136.5999999999999</v>
      </c>
      <c r="CN38" s="120">
        <v>1176.4000000000001</v>
      </c>
      <c r="CO38" s="120">
        <v>1113.0999999999999</v>
      </c>
      <c r="CP38" s="120">
        <v>1411</v>
      </c>
      <c r="CQ38" s="120">
        <v>1411</v>
      </c>
      <c r="CR38" s="120">
        <v>1411</v>
      </c>
      <c r="CS38" s="120">
        <v>1411</v>
      </c>
      <c r="CT38" s="122"/>
      <c r="CU38" s="122"/>
      <c r="CV38" s="122"/>
      <c r="CW38" s="121"/>
      <c r="CX38" s="97">
        <f t="array" ref="CX38">SUMPRODUCT(B38:CW38*0.25)</f>
        <v>15977.350000000002</v>
      </c>
    </row>
    <row r="39" spans="1:102" ht="24.95" customHeight="1" x14ac:dyDescent="0.2">
      <c r="A39" s="118" t="s">
        <v>33</v>
      </c>
      <c r="B39" s="119">
        <v>85</v>
      </c>
      <c r="C39" s="120">
        <v>85</v>
      </c>
      <c r="D39" s="120">
        <v>85</v>
      </c>
      <c r="E39" s="120">
        <v>85</v>
      </c>
      <c r="F39" s="120">
        <v>94</v>
      </c>
      <c r="G39" s="120">
        <v>94</v>
      </c>
      <c r="H39" s="120">
        <v>94</v>
      </c>
      <c r="I39" s="120">
        <v>94</v>
      </c>
      <c r="J39" s="120">
        <v>94</v>
      </c>
      <c r="K39" s="120">
        <v>94</v>
      </c>
      <c r="L39" s="120">
        <v>94</v>
      </c>
      <c r="M39" s="120">
        <v>94</v>
      </c>
      <c r="N39" s="120">
        <v>82</v>
      </c>
      <c r="O39" s="120">
        <v>82</v>
      </c>
      <c r="P39" s="120">
        <v>82</v>
      </c>
      <c r="Q39" s="120">
        <v>82</v>
      </c>
      <c r="R39" s="120">
        <v>87</v>
      </c>
      <c r="S39" s="120">
        <v>87</v>
      </c>
      <c r="T39" s="120">
        <v>87</v>
      </c>
      <c r="U39" s="120">
        <v>87</v>
      </c>
      <c r="V39" s="120">
        <v>100</v>
      </c>
      <c r="W39" s="120">
        <v>100</v>
      </c>
      <c r="X39" s="120">
        <v>100</v>
      </c>
      <c r="Y39" s="120">
        <v>100</v>
      </c>
      <c r="Z39" s="120">
        <v>72</v>
      </c>
      <c r="AA39" s="120">
        <v>72</v>
      </c>
      <c r="AB39" s="120">
        <v>72</v>
      </c>
      <c r="AC39" s="120">
        <v>72</v>
      </c>
      <c r="AD39" s="120">
        <v>72</v>
      </c>
      <c r="AE39" s="120">
        <v>72</v>
      </c>
      <c r="AF39" s="120">
        <v>72</v>
      </c>
      <c r="AG39" s="120">
        <v>72</v>
      </c>
      <c r="AH39" s="120">
        <v>29</v>
      </c>
      <c r="AI39" s="120">
        <v>29</v>
      </c>
      <c r="AJ39" s="120">
        <v>29</v>
      </c>
      <c r="AK39" s="120">
        <v>29</v>
      </c>
      <c r="AL39" s="120">
        <v>7</v>
      </c>
      <c r="AM39" s="120">
        <v>7</v>
      </c>
      <c r="AN39" s="120">
        <v>7</v>
      </c>
      <c r="AO39" s="120">
        <v>7</v>
      </c>
      <c r="AP39" s="120">
        <v>7</v>
      </c>
      <c r="AQ39" s="120">
        <v>7</v>
      </c>
      <c r="AR39" s="120">
        <v>7</v>
      </c>
      <c r="AS39" s="120">
        <v>7</v>
      </c>
      <c r="AT39" s="120">
        <v>7</v>
      </c>
      <c r="AU39" s="120">
        <v>7</v>
      </c>
      <c r="AV39" s="120">
        <v>7</v>
      </c>
      <c r="AW39" s="120">
        <v>7</v>
      </c>
      <c r="AX39" s="120">
        <v>7</v>
      </c>
      <c r="AY39" s="120">
        <v>7</v>
      </c>
      <c r="AZ39" s="120">
        <v>7</v>
      </c>
      <c r="BA39" s="120">
        <v>7</v>
      </c>
      <c r="BB39" s="120">
        <v>7</v>
      </c>
      <c r="BC39" s="120">
        <v>7</v>
      </c>
      <c r="BD39" s="120">
        <v>7</v>
      </c>
      <c r="BE39" s="120">
        <v>7</v>
      </c>
      <c r="BF39" s="120">
        <v>24</v>
      </c>
      <c r="BG39" s="120">
        <v>24</v>
      </c>
      <c r="BH39" s="120">
        <v>24</v>
      </c>
      <c r="BI39" s="120">
        <v>24</v>
      </c>
      <c r="BJ39" s="120">
        <v>77</v>
      </c>
      <c r="BK39" s="120">
        <v>77</v>
      </c>
      <c r="BL39" s="120">
        <v>77</v>
      </c>
      <c r="BM39" s="120">
        <v>77</v>
      </c>
      <c r="BN39" s="120">
        <v>84</v>
      </c>
      <c r="BO39" s="120">
        <v>84</v>
      </c>
      <c r="BP39" s="120">
        <v>84</v>
      </c>
      <c r="BQ39" s="120">
        <v>84</v>
      </c>
      <c r="BR39" s="120">
        <v>93</v>
      </c>
      <c r="BS39" s="120">
        <v>93</v>
      </c>
      <c r="BT39" s="120">
        <v>93</v>
      </c>
      <c r="BU39" s="120">
        <v>93</v>
      </c>
      <c r="BV39" s="120">
        <v>94</v>
      </c>
      <c r="BW39" s="120">
        <v>94</v>
      </c>
      <c r="BX39" s="120">
        <v>94</v>
      </c>
      <c r="BY39" s="120">
        <v>94</v>
      </c>
      <c r="BZ39" s="120">
        <v>93</v>
      </c>
      <c r="CA39" s="120">
        <v>93</v>
      </c>
      <c r="CB39" s="120">
        <v>93</v>
      </c>
      <c r="CC39" s="120">
        <v>93</v>
      </c>
      <c r="CD39" s="120">
        <v>100</v>
      </c>
      <c r="CE39" s="120">
        <v>100</v>
      </c>
      <c r="CF39" s="120">
        <v>100</v>
      </c>
      <c r="CG39" s="120">
        <v>100</v>
      </c>
      <c r="CH39" s="120">
        <v>100</v>
      </c>
      <c r="CI39" s="120">
        <v>100</v>
      </c>
      <c r="CJ39" s="120">
        <v>100</v>
      </c>
      <c r="CK39" s="120">
        <v>100</v>
      </c>
      <c r="CL39" s="120">
        <v>100</v>
      </c>
      <c r="CM39" s="120">
        <v>100</v>
      </c>
      <c r="CN39" s="120">
        <v>100</v>
      </c>
      <c r="CO39" s="120">
        <v>100</v>
      </c>
      <c r="CP39" s="120">
        <v>84</v>
      </c>
      <c r="CQ39" s="120">
        <v>84</v>
      </c>
      <c r="CR39" s="120">
        <v>84</v>
      </c>
      <c r="CS39" s="120">
        <v>84</v>
      </c>
      <c r="CT39" s="122"/>
      <c r="CU39" s="122"/>
      <c r="CV39" s="122"/>
      <c r="CW39" s="121"/>
      <c r="CX39" s="97">
        <f t="array" ref="CX39">SUMPRODUCT(B39:CW39*0.25)</f>
        <v>1599</v>
      </c>
    </row>
    <row r="40" spans="1:102" ht="24.95" customHeight="1" x14ac:dyDescent="0.2">
      <c r="A40" s="118" t="s">
        <v>34</v>
      </c>
      <c r="B40" s="119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>
        <v>249.2</v>
      </c>
      <c r="BO40" s="120">
        <v>249.2</v>
      </c>
      <c r="BP40" s="120">
        <v>249.2</v>
      </c>
      <c r="BQ40" s="120">
        <v>249.2</v>
      </c>
      <c r="BR40" s="120">
        <v>273.2</v>
      </c>
      <c r="BS40" s="120">
        <v>273.2</v>
      </c>
      <c r="BT40" s="120">
        <v>273.2</v>
      </c>
      <c r="BU40" s="120">
        <v>273.2</v>
      </c>
      <c r="BV40" s="120">
        <v>169.2</v>
      </c>
      <c r="BW40" s="120">
        <v>169.2</v>
      </c>
      <c r="BX40" s="120">
        <v>169.2</v>
      </c>
      <c r="BY40" s="120">
        <v>169.2</v>
      </c>
      <c r="BZ40" s="120">
        <v>320.7</v>
      </c>
      <c r="CA40" s="120">
        <v>320.7</v>
      </c>
      <c r="CB40" s="120">
        <v>320.7</v>
      </c>
      <c r="CC40" s="120">
        <v>320.7</v>
      </c>
      <c r="CD40" s="120">
        <v>500</v>
      </c>
      <c r="CE40" s="120">
        <v>500</v>
      </c>
      <c r="CF40" s="120">
        <v>500</v>
      </c>
      <c r="CG40" s="120">
        <v>500</v>
      </c>
      <c r="CH40" s="120">
        <v>234.7</v>
      </c>
      <c r="CI40" s="120">
        <v>234.7</v>
      </c>
      <c r="CJ40" s="120">
        <v>234.7</v>
      </c>
      <c r="CK40" s="120">
        <v>234.7</v>
      </c>
      <c r="CL40" s="120">
        <v>26</v>
      </c>
      <c r="CM40" s="120">
        <v>26</v>
      </c>
      <c r="CN40" s="120">
        <v>26</v>
      </c>
      <c r="CO40" s="120">
        <v>26</v>
      </c>
      <c r="CP40" s="120"/>
      <c r="CQ40" s="120"/>
      <c r="CR40" s="120"/>
      <c r="CS40" s="120"/>
      <c r="CT40" s="122"/>
      <c r="CU40" s="122"/>
      <c r="CV40" s="122"/>
      <c r="CW40" s="121"/>
      <c r="CX40" s="97">
        <f t="array" ref="CX40">SUMPRODUCT(B40:CW40*0.25)</f>
        <v>1772.9999999999995</v>
      </c>
    </row>
    <row r="41" spans="1:102" ht="30" customHeight="1" thickBot="1" x14ac:dyDescent="0.25">
      <c r="A41" s="105" t="s">
        <v>35</v>
      </c>
      <c r="B41" s="106">
        <f>SUM(B36:B40)</f>
        <v>85</v>
      </c>
      <c r="C41" s="107">
        <f t="shared" ref="C41:BN41" si="7">SUM(C36:C40)</f>
        <v>85</v>
      </c>
      <c r="D41" s="107">
        <f t="shared" si="7"/>
        <v>85</v>
      </c>
      <c r="E41" s="107">
        <f t="shared" si="7"/>
        <v>85</v>
      </c>
      <c r="F41" s="107">
        <f t="shared" si="7"/>
        <v>94</v>
      </c>
      <c r="G41" s="107">
        <f t="shared" si="7"/>
        <v>94</v>
      </c>
      <c r="H41" s="107">
        <f t="shared" si="7"/>
        <v>94</v>
      </c>
      <c r="I41" s="107">
        <f t="shared" si="7"/>
        <v>94</v>
      </c>
      <c r="J41" s="107">
        <f t="shared" si="7"/>
        <v>94</v>
      </c>
      <c r="K41" s="107">
        <f t="shared" si="7"/>
        <v>94</v>
      </c>
      <c r="L41" s="107">
        <f t="shared" si="7"/>
        <v>171.4</v>
      </c>
      <c r="M41" s="107">
        <f t="shared" si="7"/>
        <v>478.8</v>
      </c>
      <c r="N41" s="107">
        <f t="shared" si="7"/>
        <v>128.19999999999999</v>
      </c>
      <c r="O41" s="107">
        <f t="shared" si="7"/>
        <v>380.2</v>
      </c>
      <c r="P41" s="107">
        <f t="shared" si="7"/>
        <v>449.7</v>
      </c>
      <c r="Q41" s="107">
        <f t="shared" si="7"/>
        <v>368.6</v>
      </c>
      <c r="R41" s="107">
        <f t="shared" si="7"/>
        <v>628.5</v>
      </c>
      <c r="S41" s="107">
        <f t="shared" si="7"/>
        <v>630.29999999999995</v>
      </c>
      <c r="T41" s="107">
        <f t="shared" si="7"/>
        <v>557.70000000000005</v>
      </c>
      <c r="U41" s="107">
        <f t="shared" si="7"/>
        <v>581.9</v>
      </c>
      <c r="V41" s="107">
        <f t="shared" si="7"/>
        <v>676.3</v>
      </c>
      <c r="W41" s="107">
        <f t="shared" si="7"/>
        <v>702.3</v>
      </c>
      <c r="X41" s="107">
        <f t="shared" si="7"/>
        <v>602.79999999999995</v>
      </c>
      <c r="Y41" s="107">
        <f t="shared" si="7"/>
        <v>496.5</v>
      </c>
      <c r="Z41" s="107">
        <f t="shared" si="7"/>
        <v>1020.3</v>
      </c>
      <c r="AA41" s="107">
        <f t="shared" si="7"/>
        <v>937</v>
      </c>
      <c r="AB41" s="107">
        <f t="shared" si="7"/>
        <v>872.7</v>
      </c>
      <c r="AC41" s="107">
        <f t="shared" si="7"/>
        <v>780.5</v>
      </c>
      <c r="AD41" s="107">
        <f t="shared" si="7"/>
        <v>731.4</v>
      </c>
      <c r="AE41" s="107">
        <f t="shared" si="7"/>
        <v>907.5</v>
      </c>
      <c r="AF41" s="107">
        <f t="shared" si="7"/>
        <v>785.4</v>
      </c>
      <c r="AG41" s="107">
        <f t="shared" si="7"/>
        <v>508.1</v>
      </c>
      <c r="AH41" s="107">
        <f t="shared" si="7"/>
        <v>365.7</v>
      </c>
      <c r="AI41" s="107">
        <f t="shared" si="7"/>
        <v>29</v>
      </c>
      <c r="AJ41" s="107">
        <f t="shared" si="7"/>
        <v>29</v>
      </c>
      <c r="AK41" s="107">
        <f t="shared" si="7"/>
        <v>29</v>
      </c>
      <c r="AL41" s="107">
        <f t="shared" si="7"/>
        <v>12</v>
      </c>
      <c r="AM41" s="107">
        <f t="shared" si="7"/>
        <v>12</v>
      </c>
      <c r="AN41" s="107">
        <f t="shared" si="7"/>
        <v>12</v>
      </c>
      <c r="AO41" s="107">
        <f t="shared" si="7"/>
        <v>12</v>
      </c>
      <c r="AP41" s="107">
        <f t="shared" si="7"/>
        <v>12</v>
      </c>
      <c r="AQ41" s="107">
        <f t="shared" si="7"/>
        <v>12</v>
      </c>
      <c r="AR41" s="107">
        <f t="shared" si="7"/>
        <v>12</v>
      </c>
      <c r="AS41" s="107">
        <f t="shared" si="7"/>
        <v>12</v>
      </c>
      <c r="AT41" s="107">
        <f t="shared" si="7"/>
        <v>12</v>
      </c>
      <c r="AU41" s="107">
        <f t="shared" si="7"/>
        <v>12</v>
      </c>
      <c r="AV41" s="107">
        <f t="shared" si="7"/>
        <v>12</v>
      </c>
      <c r="AW41" s="107">
        <f t="shared" si="7"/>
        <v>12</v>
      </c>
      <c r="AX41" s="107">
        <f t="shared" si="7"/>
        <v>12</v>
      </c>
      <c r="AY41" s="107">
        <f t="shared" si="7"/>
        <v>12</v>
      </c>
      <c r="AZ41" s="107">
        <f t="shared" si="7"/>
        <v>12</v>
      </c>
      <c r="BA41" s="107">
        <f t="shared" si="7"/>
        <v>12</v>
      </c>
      <c r="BB41" s="107">
        <f t="shared" si="7"/>
        <v>12</v>
      </c>
      <c r="BC41" s="107">
        <f t="shared" si="7"/>
        <v>12</v>
      </c>
      <c r="BD41" s="107">
        <f t="shared" si="7"/>
        <v>12</v>
      </c>
      <c r="BE41" s="107">
        <f t="shared" si="7"/>
        <v>258.60000000000002</v>
      </c>
      <c r="BF41" s="107">
        <f t="shared" si="7"/>
        <v>123.5</v>
      </c>
      <c r="BG41" s="107">
        <f t="shared" si="7"/>
        <v>447.1</v>
      </c>
      <c r="BH41" s="107">
        <f t="shared" si="7"/>
        <v>893.6</v>
      </c>
      <c r="BI41" s="107">
        <f t="shared" si="7"/>
        <v>1091.5999999999999</v>
      </c>
      <c r="BJ41" s="107">
        <f t="shared" si="7"/>
        <v>1488</v>
      </c>
      <c r="BK41" s="107">
        <f t="shared" si="7"/>
        <v>1488</v>
      </c>
      <c r="BL41" s="107">
        <f t="shared" si="7"/>
        <v>1404.5</v>
      </c>
      <c r="BM41" s="107">
        <f t="shared" si="7"/>
        <v>1288.2</v>
      </c>
      <c r="BN41" s="107">
        <f t="shared" si="7"/>
        <v>1535</v>
      </c>
      <c r="BO41" s="107">
        <f t="shared" ref="BO41:CW41" si="8">SUM(BO36:BO40)</f>
        <v>1701.9</v>
      </c>
      <c r="BP41" s="107">
        <f t="shared" si="8"/>
        <v>1664</v>
      </c>
      <c r="BQ41" s="107">
        <f t="shared" si="8"/>
        <v>1744.2</v>
      </c>
      <c r="BR41" s="107">
        <f t="shared" si="8"/>
        <v>1844.2</v>
      </c>
      <c r="BS41" s="107">
        <f t="shared" si="8"/>
        <v>1835.4</v>
      </c>
      <c r="BT41" s="107">
        <f t="shared" si="8"/>
        <v>1844.2</v>
      </c>
      <c r="BU41" s="107">
        <f t="shared" si="8"/>
        <v>1844.2</v>
      </c>
      <c r="BV41" s="107">
        <f t="shared" si="8"/>
        <v>1741.2</v>
      </c>
      <c r="BW41" s="107">
        <f t="shared" si="8"/>
        <v>1741.2</v>
      </c>
      <c r="BX41" s="107">
        <f t="shared" si="8"/>
        <v>1716.9</v>
      </c>
      <c r="BY41" s="107">
        <f t="shared" si="8"/>
        <v>1741.2</v>
      </c>
      <c r="BZ41" s="107">
        <f t="shared" si="8"/>
        <v>1891.7</v>
      </c>
      <c r="CA41" s="107">
        <f t="shared" si="8"/>
        <v>1874.6000000000001</v>
      </c>
      <c r="CB41" s="107">
        <f t="shared" si="8"/>
        <v>1891.7</v>
      </c>
      <c r="CC41" s="107">
        <f t="shared" si="8"/>
        <v>1891.7</v>
      </c>
      <c r="CD41" s="107">
        <f t="shared" si="8"/>
        <v>2011</v>
      </c>
      <c r="CE41" s="107">
        <f t="shared" si="8"/>
        <v>2011</v>
      </c>
      <c r="CF41" s="107">
        <f t="shared" si="8"/>
        <v>2011</v>
      </c>
      <c r="CG41" s="107">
        <f t="shared" si="8"/>
        <v>1997.3</v>
      </c>
      <c r="CH41" s="107">
        <f t="shared" si="8"/>
        <v>1745.7</v>
      </c>
      <c r="CI41" s="107">
        <f t="shared" si="8"/>
        <v>1745.7</v>
      </c>
      <c r="CJ41" s="107">
        <f t="shared" si="8"/>
        <v>1745.7</v>
      </c>
      <c r="CK41" s="107">
        <f t="shared" si="8"/>
        <v>1745.7</v>
      </c>
      <c r="CL41" s="107">
        <f t="shared" si="8"/>
        <v>1537</v>
      </c>
      <c r="CM41" s="107">
        <f t="shared" si="8"/>
        <v>1262.5999999999999</v>
      </c>
      <c r="CN41" s="107">
        <f t="shared" si="8"/>
        <v>1302.4000000000001</v>
      </c>
      <c r="CO41" s="107">
        <f t="shared" si="8"/>
        <v>1239.0999999999999</v>
      </c>
      <c r="CP41" s="107">
        <f t="shared" si="8"/>
        <v>1495</v>
      </c>
      <c r="CQ41" s="107">
        <f t="shared" si="8"/>
        <v>1495</v>
      </c>
      <c r="CR41" s="107">
        <f t="shared" si="8"/>
        <v>1495</v>
      </c>
      <c r="CS41" s="107">
        <f t="shared" si="8"/>
        <v>1495</v>
      </c>
      <c r="CT41" s="108">
        <f t="shared" si="8"/>
        <v>0</v>
      </c>
      <c r="CU41" s="108">
        <f t="shared" si="8"/>
        <v>0</v>
      </c>
      <c r="CV41" s="108">
        <f t="shared" si="8"/>
        <v>0</v>
      </c>
      <c r="CW41" s="109">
        <f t="shared" si="8"/>
        <v>0</v>
      </c>
      <c r="CX41" s="110">
        <f>SUM(CX36:CX40)</f>
        <v>19575.350000000002</v>
      </c>
    </row>
    <row r="42" spans="1:102" ht="18" customHeight="1" thickBot="1" x14ac:dyDescent="0.25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5"/>
    </row>
    <row r="43" spans="1:102" ht="30" customHeight="1" thickBot="1" x14ac:dyDescent="0.25">
      <c r="A43" s="47" t="s">
        <v>36</v>
      </c>
      <c r="B43" s="111">
        <v>1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3"/>
    </row>
    <row r="44" spans="1:102" ht="24.95" customHeight="1" x14ac:dyDescent="0.2">
      <c r="A44" s="86" t="s">
        <v>30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6"/>
      <c r="CU44" s="116"/>
      <c r="CV44" s="116"/>
      <c r="CW44" s="117"/>
      <c r="CX44" s="91">
        <f t="array" ref="CX44">SUMPRODUCT(B44:CW44*0.25)</f>
        <v>0</v>
      </c>
    </row>
    <row r="45" spans="1:102" ht="24.95" customHeight="1" x14ac:dyDescent="0.2">
      <c r="A45" s="118" t="s">
        <v>31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1"/>
      <c r="CX45" s="97">
        <f t="array" ref="CX45">SUMPRODUCT(B45:CW45*0.25)</f>
        <v>0</v>
      </c>
    </row>
    <row r="46" spans="1:102" ht="24.95" customHeight="1" x14ac:dyDescent="0.2">
      <c r="A46" s="118" t="s">
        <v>32</v>
      </c>
      <c r="B46" s="119"/>
      <c r="C46" s="120"/>
      <c r="D46" s="120"/>
      <c r="E46" s="120"/>
      <c r="F46" s="120"/>
      <c r="G46" s="120"/>
      <c r="H46" s="120"/>
      <c r="I46" s="120"/>
      <c r="J46" s="120"/>
      <c r="K46" s="120"/>
      <c r="L46" s="120">
        <v>77.400000000000006</v>
      </c>
      <c r="M46" s="120">
        <v>384.8</v>
      </c>
      <c r="N46" s="120">
        <v>46.2</v>
      </c>
      <c r="O46" s="120">
        <v>298.2</v>
      </c>
      <c r="P46" s="120">
        <v>367.7</v>
      </c>
      <c r="Q46" s="120">
        <v>286.60000000000002</v>
      </c>
      <c r="R46" s="120">
        <v>541.5</v>
      </c>
      <c r="S46" s="120">
        <v>543.29999999999995</v>
      </c>
      <c r="T46" s="120">
        <v>470.7</v>
      </c>
      <c r="U46" s="120">
        <v>494.9</v>
      </c>
      <c r="V46" s="120">
        <v>576.29999999999995</v>
      </c>
      <c r="W46" s="120">
        <v>602.29999999999995</v>
      </c>
      <c r="X46" s="120">
        <v>502.8</v>
      </c>
      <c r="Y46" s="120">
        <v>396.5</v>
      </c>
      <c r="Z46" s="120">
        <v>948.3</v>
      </c>
      <c r="AA46" s="120">
        <v>865</v>
      </c>
      <c r="AB46" s="120">
        <v>800.7</v>
      </c>
      <c r="AC46" s="120">
        <v>708.5</v>
      </c>
      <c r="AD46" s="120">
        <v>659.4</v>
      </c>
      <c r="AE46" s="120">
        <v>835.5</v>
      </c>
      <c r="AF46" s="120">
        <v>713.4</v>
      </c>
      <c r="AG46" s="120">
        <v>436.1</v>
      </c>
      <c r="AH46" s="120">
        <v>336.7</v>
      </c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>
        <v>246.6</v>
      </c>
      <c r="BF46" s="120">
        <v>99.5</v>
      </c>
      <c r="BG46" s="120">
        <v>423.1</v>
      </c>
      <c r="BH46" s="120">
        <v>869.6</v>
      </c>
      <c r="BI46" s="120">
        <v>1067.5999999999999</v>
      </c>
      <c r="BJ46" s="120">
        <v>1411</v>
      </c>
      <c r="BK46" s="120">
        <v>1411</v>
      </c>
      <c r="BL46" s="120">
        <v>1327.5</v>
      </c>
      <c r="BM46" s="120">
        <v>1211.2</v>
      </c>
      <c r="BN46" s="120">
        <v>1201.8</v>
      </c>
      <c r="BO46" s="120">
        <v>1368.7</v>
      </c>
      <c r="BP46" s="120">
        <v>1330.8</v>
      </c>
      <c r="BQ46" s="120">
        <v>1411</v>
      </c>
      <c r="BR46" s="120">
        <v>1411</v>
      </c>
      <c r="BS46" s="120">
        <v>1402.2</v>
      </c>
      <c r="BT46" s="120">
        <v>1411</v>
      </c>
      <c r="BU46" s="120">
        <v>1411</v>
      </c>
      <c r="BV46" s="120">
        <v>1411</v>
      </c>
      <c r="BW46" s="120">
        <v>1411</v>
      </c>
      <c r="BX46" s="120">
        <v>1386.7</v>
      </c>
      <c r="BY46" s="120">
        <v>1411</v>
      </c>
      <c r="BZ46" s="120">
        <v>1411</v>
      </c>
      <c r="CA46" s="120">
        <v>1393.9</v>
      </c>
      <c r="CB46" s="120">
        <v>1411</v>
      </c>
      <c r="CC46" s="120">
        <v>1411</v>
      </c>
      <c r="CD46" s="120">
        <v>1411</v>
      </c>
      <c r="CE46" s="120">
        <v>1411</v>
      </c>
      <c r="CF46" s="120">
        <v>1411</v>
      </c>
      <c r="CG46" s="120">
        <v>1397.3</v>
      </c>
      <c r="CH46" s="120">
        <v>1411</v>
      </c>
      <c r="CI46" s="120">
        <v>1411</v>
      </c>
      <c r="CJ46" s="120">
        <v>1411</v>
      </c>
      <c r="CK46" s="120">
        <v>1411</v>
      </c>
      <c r="CL46" s="120">
        <v>1411</v>
      </c>
      <c r="CM46" s="120">
        <v>1136.5999999999999</v>
      </c>
      <c r="CN46" s="120">
        <v>1176.4000000000001</v>
      </c>
      <c r="CO46" s="120">
        <v>1113.0999999999999</v>
      </c>
      <c r="CP46" s="120">
        <v>1411</v>
      </c>
      <c r="CQ46" s="120">
        <v>1411</v>
      </c>
      <c r="CR46" s="120">
        <v>1411</v>
      </c>
      <c r="CS46" s="120">
        <v>1411</v>
      </c>
      <c r="CT46" s="122"/>
      <c r="CU46" s="122"/>
      <c r="CV46" s="122"/>
      <c r="CW46" s="121"/>
      <c r="CX46" s="97">
        <f t="array" ref="CX46">SUMPRODUCT(B46:CW46*0.25)</f>
        <v>15977.350000000002</v>
      </c>
    </row>
    <row r="47" spans="1:102" ht="24.95" customHeight="1" x14ac:dyDescent="0.2">
      <c r="A47" s="118" t="s">
        <v>33</v>
      </c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2"/>
      <c r="CU47" s="122"/>
      <c r="CV47" s="122"/>
      <c r="CW47" s="121"/>
      <c r="CX47" s="97">
        <f t="array" ref="CX47">SUMPRODUCT(B47:CW47*0.25)</f>
        <v>0</v>
      </c>
    </row>
    <row r="48" spans="1:102" ht="24.95" customHeight="1" x14ac:dyDescent="0.2">
      <c r="A48" s="118" t="s">
        <v>34</v>
      </c>
      <c r="B48" s="11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>
        <v>249.2</v>
      </c>
      <c r="BO48" s="120">
        <v>249.2</v>
      </c>
      <c r="BP48" s="120">
        <v>249.2</v>
      </c>
      <c r="BQ48" s="120">
        <v>249.2</v>
      </c>
      <c r="BR48" s="120">
        <v>273.2</v>
      </c>
      <c r="BS48" s="120">
        <v>273.2</v>
      </c>
      <c r="BT48" s="120">
        <v>273.2</v>
      </c>
      <c r="BU48" s="120">
        <v>273.2</v>
      </c>
      <c r="BV48" s="120">
        <v>169.2</v>
      </c>
      <c r="BW48" s="120">
        <v>169.2</v>
      </c>
      <c r="BX48" s="120">
        <v>169.2</v>
      </c>
      <c r="BY48" s="120">
        <v>169.2</v>
      </c>
      <c r="BZ48" s="120">
        <v>320.7</v>
      </c>
      <c r="CA48" s="120">
        <v>320.7</v>
      </c>
      <c r="CB48" s="120">
        <v>320.7</v>
      </c>
      <c r="CC48" s="120">
        <v>320.7</v>
      </c>
      <c r="CD48" s="120">
        <v>500</v>
      </c>
      <c r="CE48" s="120">
        <v>500</v>
      </c>
      <c r="CF48" s="120">
        <v>500</v>
      </c>
      <c r="CG48" s="120">
        <v>500</v>
      </c>
      <c r="CH48" s="120">
        <v>234.7</v>
      </c>
      <c r="CI48" s="120">
        <v>234.7</v>
      </c>
      <c r="CJ48" s="120">
        <v>234.7</v>
      </c>
      <c r="CK48" s="120">
        <v>234.7</v>
      </c>
      <c r="CL48" s="120">
        <v>26</v>
      </c>
      <c r="CM48" s="120">
        <v>26</v>
      </c>
      <c r="CN48" s="120">
        <v>26</v>
      </c>
      <c r="CO48" s="120">
        <v>26</v>
      </c>
      <c r="CP48" s="120"/>
      <c r="CQ48" s="120"/>
      <c r="CR48" s="120"/>
      <c r="CS48" s="120"/>
      <c r="CT48" s="122"/>
      <c r="CU48" s="122"/>
      <c r="CV48" s="122"/>
      <c r="CW48" s="121"/>
      <c r="CX48" s="97">
        <f t="array" ref="CX48">SUMPRODUCT(B48:CW48*0.25)</f>
        <v>1772.9999999999995</v>
      </c>
    </row>
    <row r="49" spans="1:102" ht="24.95" customHeight="1" x14ac:dyDescent="0.2">
      <c r="A49" s="104" t="s">
        <v>37</v>
      </c>
      <c r="B49" s="119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  <c r="CT49" s="122"/>
      <c r="CU49" s="122"/>
      <c r="CV49" s="122"/>
      <c r="CW49" s="121"/>
      <c r="CX49" s="97">
        <f t="array" ref="CX49">SUMPRODUCT(B49:CW49*0.25)</f>
        <v>0</v>
      </c>
    </row>
    <row r="50" spans="1:102" ht="30" customHeight="1" thickBot="1" x14ac:dyDescent="0.25">
      <c r="A50" s="105" t="s">
        <v>38</v>
      </c>
      <c r="B50" s="106">
        <f>SUM(B44:B49)</f>
        <v>0</v>
      </c>
      <c r="C50" s="107">
        <f t="shared" ref="C50:BN50" si="9">SUM(C44:C49)</f>
        <v>0</v>
      </c>
      <c r="D50" s="107">
        <f t="shared" si="9"/>
        <v>0</v>
      </c>
      <c r="E50" s="107">
        <f t="shared" si="9"/>
        <v>0</v>
      </c>
      <c r="F50" s="107">
        <f t="shared" si="9"/>
        <v>0</v>
      </c>
      <c r="G50" s="107">
        <f t="shared" si="9"/>
        <v>0</v>
      </c>
      <c r="H50" s="107">
        <f t="shared" si="9"/>
        <v>0</v>
      </c>
      <c r="I50" s="107">
        <f t="shared" si="9"/>
        <v>0</v>
      </c>
      <c r="J50" s="107">
        <f t="shared" si="9"/>
        <v>0</v>
      </c>
      <c r="K50" s="107">
        <f t="shared" si="9"/>
        <v>0</v>
      </c>
      <c r="L50" s="107">
        <f t="shared" si="9"/>
        <v>77.400000000000006</v>
      </c>
      <c r="M50" s="107">
        <f t="shared" si="9"/>
        <v>384.8</v>
      </c>
      <c r="N50" s="107">
        <f t="shared" si="9"/>
        <v>46.2</v>
      </c>
      <c r="O50" s="107">
        <f t="shared" si="9"/>
        <v>298.2</v>
      </c>
      <c r="P50" s="107">
        <f t="shared" si="9"/>
        <v>367.7</v>
      </c>
      <c r="Q50" s="107">
        <f t="shared" si="9"/>
        <v>286.60000000000002</v>
      </c>
      <c r="R50" s="107">
        <f t="shared" si="9"/>
        <v>541.5</v>
      </c>
      <c r="S50" s="107">
        <f t="shared" si="9"/>
        <v>543.29999999999995</v>
      </c>
      <c r="T50" s="107">
        <f t="shared" si="9"/>
        <v>470.7</v>
      </c>
      <c r="U50" s="107">
        <f t="shared" si="9"/>
        <v>494.9</v>
      </c>
      <c r="V50" s="107">
        <f t="shared" si="9"/>
        <v>576.29999999999995</v>
      </c>
      <c r="W50" s="107">
        <f t="shared" si="9"/>
        <v>602.29999999999995</v>
      </c>
      <c r="X50" s="107">
        <f t="shared" si="9"/>
        <v>502.8</v>
      </c>
      <c r="Y50" s="107">
        <f t="shared" si="9"/>
        <v>396.5</v>
      </c>
      <c r="Z50" s="107">
        <f t="shared" si="9"/>
        <v>948.3</v>
      </c>
      <c r="AA50" s="107">
        <f t="shared" si="9"/>
        <v>865</v>
      </c>
      <c r="AB50" s="107">
        <f t="shared" si="9"/>
        <v>800.7</v>
      </c>
      <c r="AC50" s="107">
        <f t="shared" si="9"/>
        <v>708.5</v>
      </c>
      <c r="AD50" s="107">
        <f t="shared" si="9"/>
        <v>659.4</v>
      </c>
      <c r="AE50" s="107">
        <f t="shared" si="9"/>
        <v>835.5</v>
      </c>
      <c r="AF50" s="107">
        <f t="shared" si="9"/>
        <v>713.4</v>
      </c>
      <c r="AG50" s="107">
        <f t="shared" si="9"/>
        <v>436.1</v>
      </c>
      <c r="AH50" s="107">
        <f t="shared" si="9"/>
        <v>336.7</v>
      </c>
      <c r="AI50" s="107">
        <f t="shared" si="9"/>
        <v>0</v>
      </c>
      <c r="AJ50" s="107">
        <f t="shared" si="9"/>
        <v>0</v>
      </c>
      <c r="AK50" s="107">
        <f t="shared" si="9"/>
        <v>0</v>
      </c>
      <c r="AL50" s="107">
        <f t="shared" si="9"/>
        <v>0</v>
      </c>
      <c r="AM50" s="107">
        <f t="shared" si="9"/>
        <v>0</v>
      </c>
      <c r="AN50" s="107">
        <f t="shared" si="9"/>
        <v>0</v>
      </c>
      <c r="AO50" s="107">
        <f t="shared" si="9"/>
        <v>0</v>
      </c>
      <c r="AP50" s="107">
        <f t="shared" si="9"/>
        <v>0</v>
      </c>
      <c r="AQ50" s="107">
        <f t="shared" si="9"/>
        <v>0</v>
      </c>
      <c r="AR50" s="107">
        <f t="shared" si="9"/>
        <v>0</v>
      </c>
      <c r="AS50" s="107">
        <f t="shared" si="9"/>
        <v>0</v>
      </c>
      <c r="AT50" s="107">
        <f t="shared" si="9"/>
        <v>0</v>
      </c>
      <c r="AU50" s="107">
        <f t="shared" si="9"/>
        <v>0</v>
      </c>
      <c r="AV50" s="107">
        <f t="shared" si="9"/>
        <v>0</v>
      </c>
      <c r="AW50" s="107">
        <f t="shared" si="9"/>
        <v>0</v>
      </c>
      <c r="AX50" s="107">
        <f t="shared" si="9"/>
        <v>0</v>
      </c>
      <c r="AY50" s="107">
        <f t="shared" si="9"/>
        <v>0</v>
      </c>
      <c r="AZ50" s="107">
        <f t="shared" si="9"/>
        <v>0</v>
      </c>
      <c r="BA50" s="107">
        <f t="shared" si="9"/>
        <v>0</v>
      </c>
      <c r="BB50" s="107">
        <f t="shared" si="9"/>
        <v>0</v>
      </c>
      <c r="BC50" s="107">
        <f t="shared" si="9"/>
        <v>0</v>
      </c>
      <c r="BD50" s="107">
        <f t="shared" si="9"/>
        <v>0</v>
      </c>
      <c r="BE50" s="107">
        <f t="shared" si="9"/>
        <v>246.6</v>
      </c>
      <c r="BF50" s="107">
        <f t="shared" si="9"/>
        <v>99.5</v>
      </c>
      <c r="BG50" s="107">
        <f t="shared" si="9"/>
        <v>423.1</v>
      </c>
      <c r="BH50" s="107">
        <f t="shared" si="9"/>
        <v>869.6</v>
      </c>
      <c r="BI50" s="107">
        <f t="shared" si="9"/>
        <v>1067.5999999999999</v>
      </c>
      <c r="BJ50" s="107">
        <f t="shared" si="9"/>
        <v>1411</v>
      </c>
      <c r="BK50" s="107">
        <f t="shared" si="9"/>
        <v>1411</v>
      </c>
      <c r="BL50" s="107">
        <f t="shared" si="9"/>
        <v>1327.5</v>
      </c>
      <c r="BM50" s="107">
        <f t="shared" si="9"/>
        <v>1211.2</v>
      </c>
      <c r="BN50" s="107">
        <f t="shared" si="9"/>
        <v>1451</v>
      </c>
      <c r="BO50" s="107">
        <f t="shared" ref="BO50:CW50" si="10">SUM(BO44:BO49)</f>
        <v>1617.9</v>
      </c>
      <c r="BP50" s="107">
        <f t="shared" si="10"/>
        <v>1580</v>
      </c>
      <c r="BQ50" s="107">
        <f t="shared" si="10"/>
        <v>1660.2</v>
      </c>
      <c r="BR50" s="107">
        <f t="shared" si="10"/>
        <v>1684.2</v>
      </c>
      <c r="BS50" s="107">
        <f t="shared" si="10"/>
        <v>1675.4</v>
      </c>
      <c r="BT50" s="107">
        <f t="shared" si="10"/>
        <v>1684.2</v>
      </c>
      <c r="BU50" s="107">
        <f t="shared" si="10"/>
        <v>1684.2</v>
      </c>
      <c r="BV50" s="107">
        <f t="shared" si="10"/>
        <v>1580.2</v>
      </c>
      <c r="BW50" s="107">
        <f t="shared" si="10"/>
        <v>1580.2</v>
      </c>
      <c r="BX50" s="107">
        <f t="shared" si="10"/>
        <v>1555.9</v>
      </c>
      <c r="BY50" s="107">
        <f t="shared" si="10"/>
        <v>1580.2</v>
      </c>
      <c r="BZ50" s="107">
        <f t="shared" si="10"/>
        <v>1731.7</v>
      </c>
      <c r="CA50" s="107">
        <f t="shared" si="10"/>
        <v>1714.6000000000001</v>
      </c>
      <c r="CB50" s="107">
        <f t="shared" si="10"/>
        <v>1731.7</v>
      </c>
      <c r="CC50" s="107">
        <f t="shared" si="10"/>
        <v>1731.7</v>
      </c>
      <c r="CD50" s="107">
        <f t="shared" si="10"/>
        <v>1911</v>
      </c>
      <c r="CE50" s="107">
        <f t="shared" si="10"/>
        <v>1911</v>
      </c>
      <c r="CF50" s="107">
        <f t="shared" si="10"/>
        <v>1911</v>
      </c>
      <c r="CG50" s="107">
        <f t="shared" si="10"/>
        <v>1897.3</v>
      </c>
      <c r="CH50" s="107">
        <f t="shared" si="10"/>
        <v>1645.7</v>
      </c>
      <c r="CI50" s="107">
        <f t="shared" si="10"/>
        <v>1645.7</v>
      </c>
      <c r="CJ50" s="107">
        <f t="shared" si="10"/>
        <v>1645.7</v>
      </c>
      <c r="CK50" s="107">
        <f t="shared" si="10"/>
        <v>1645.7</v>
      </c>
      <c r="CL50" s="107">
        <f t="shared" si="10"/>
        <v>1437</v>
      </c>
      <c r="CM50" s="107">
        <f t="shared" si="10"/>
        <v>1162.5999999999999</v>
      </c>
      <c r="CN50" s="107">
        <f t="shared" si="10"/>
        <v>1202.4000000000001</v>
      </c>
      <c r="CO50" s="107">
        <f t="shared" si="10"/>
        <v>1139.0999999999999</v>
      </c>
      <c r="CP50" s="107">
        <f t="shared" si="10"/>
        <v>1411</v>
      </c>
      <c r="CQ50" s="107">
        <f t="shared" si="10"/>
        <v>1411</v>
      </c>
      <c r="CR50" s="107">
        <f t="shared" si="10"/>
        <v>1411</v>
      </c>
      <c r="CS50" s="107">
        <f t="shared" si="10"/>
        <v>1411</v>
      </c>
      <c r="CT50" s="108">
        <f t="shared" si="10"/>
        <v>0</v>
      </c>
      <c r="CU50" s="108">
        <f t="shared" si="10"/>
        <v>0</v>
      </c>
      <c r="CV50" s="108">
        <f t="shared" si="10"/>
        <v>0</v>
      </c>
      <c r="CW50" s="109">
        <f t="shared" si="10"/>
        <v>0</v>
      </c>
      <c r="CX50" s="110">
        <f>SUM(CX44:CX49)</f>
        <v>17750.350000000002</v>
      </c>
    </row>
    <row r="51" spans="1:102" ht="15.95" customHeight="1" thickBot="1" x14ac:dyDescent="0.25"/>
    <row r="52" spans="1:102" ht="30" customHeight="1" thickBot="1" x14ac:dyDescent="0.25">
      <c r="A52" s="85"/>
      <c r="B52" s="11">
        <f>IF(LEN(B$3)&gt;0,B$3,"")</f>
        <v>1</v>
      </c>
      <c r="C52" s="12">
        <f t="shared" ref="C52:BN52" si="11">IF(LEN(C$3)&gt;0,C$3,"")</f>
        <v>2</v>
      </c>
      <c r="D52" s="12">
        <f t="shared" si="11"/>
        <v>3</v>
      </c>
      <c r="E52" s="12">
        <f t="shared" si="11"/>
        <v>4</v>
      </c>
      <c r="F52" s="12">
        <f t="shared" si="11"/>
        <v>5</v>
      </c>
      <c r="G52" s="12">
        <f t="shared" si="11"/>
        <v>6</v>
      </c>
      <c r="H52" s="12">
        <f t="shared" si="11"/>
        <v>7</v>
      </c>
      <c r="I52" s="12">
        <f t="shared" si="11"/>
        <v>8</v>
      </c>
      <c r="J52" s="12">
        <f t="shared" si="11"/>
        <v>9</v>
      </c>
      <c r="K52" s="12">
        <f t="shared" si="11"/>
        <v>10</v>
      </c>
      <c r="L52" s="12">
        <f t="shared" si="11"/>
        <v>11</v>
      </c>
      <c r="M52" s="12">
        <f t="shared" si="11"/>
        <v>12</v>
      </c>
      <c r="N52" s="12">
        <f t="shared" si="11"/>
        <v>13</v>
      </c>
      <c r="O52" s="12">
        <f t="shared" si="11"/>
        <v>14</v>
      </c>
      <c r="P52" s="12">
        <f t="shared" si="11"/>
        <v>15</v>
      </c>
      <c r="Q52" s="12">
        <f t="shared" si="11"/>
        <v>16</v>
      </c>
      <c r="R52" s="12">
        <f t="shared" si="11"/>
        <v>17</v>
      </c>
      <c r="S52" s="12">
        <f t="shared" si="11"/>
        <v>18</v>
      </c>
      <c r="T52" s="12">
        <f t="shared" si="11"/>
        <v>19</v>
      </c>
      <c r="U52" s="12">
        <f t="shared" si="11"/>
        <v>20</v>
      </c>
      <c r="V52" s="12">
        <f t="shared" si="11"/>
        <v>21</v>
      </c>
      <c r="W52" s="12">
        <f t="shared" si="11"/>
        <v>22</v>
      </c>
      <c r="X52" s="12">
        <f t="shared" si="11"/>
        <v>23</v>
      </c>
      <c r="Y52" s="12">
        <f t="shared" si="11"/>
        <v>24</v>
      </c>
      <c r="Z52" s="12">
        <f t="shared" si="11"/>
        <v>25</v>
      </c>
      <c r="AA52" s="12">
        <f t="shared" si="11"/>
        <v>26</v>
      </c>
      <c r="AB52" s="12">
        <f t="shared" si="11"/>
        <v>27</v>
      </c>
      <c r="AC52" s="12">
        <f t="shared" si="11"/>
        <v>28</v>
      </c>
      <c r="AD52" s="12">
        <f t="shared" si="11"/>
        <v>29</v>
      </c>
      <c r="AE52" s="12">
        <f t="shared" si="11"/>
        <v>30</v>
      </c>
      <c r="AF52" s="12">
        <f t="shared" si="11"/>
        <v>31</v>
      </c>
      <c r="AG52" s="12">
        <f t="shared" si="11"/>
        <v>32</v>
      </c>
      <c r="AH52" s="12">
        <f t="shared" si="11"/>
        <v>33</v>
      </c>
      <c r="AI52" s="12">
        <f t="shared" si="11"/>
        <v>34</v>
      </c>
      <c r="AJ52" s="12">
        <f t="shared" si="11"/>
        <v>35</v>
      </c>
      <c r="AK52" s="12">
        <f t="shared" si="11"/>
        <v>36</v>
      </c>
      <c r="AL52" s="12">
        <f t="shared" si="11"/>
        <v>37</v>
      </c>
      <c r="AM52" s="12">
        <f t="shared" si="11"/>
        <v>38</v>
      </c>
      <c r="AN52" s="12">
        <f t="shared" si="11"/>
        <v>39</v>
      </c>
      <c r="AO52" s="12">
        <f t="shared" si="11"/>
        <v>40</v>
      </c>
      <c r="AP52" s="12">
        <f t="shared" si="11"/>
        <v>41</v>
      </c>
      <c r="AQ52" s="12">
        <f t="shared" si="11"/>
        <v>42</v>
      </c>
      <c r="AR52" s="12">
        <f t="shared" si="11"/>
        <v>43</v>
      </c>
      <c r="AS52" s="12">
        <f t="shared" si="11"/>
        <v>44</v>
      </c>
      <c r="AT52" s="12">
        <f t="shared" si="11"/>
        <v>45</v>
      </c>
      <c r="AU52" s="12">
        <f t="shared" si="11"/>
        <v>46</v>
      </c>
      <c r="AV52" s="12">
        <f t="shared" si="11"/>
        <v>47</v>
      </c>
      <c r="AW52" s="12">
        <f t="shared" si="11"/>
        <v>48</v>
      </c>
      <c r="AX52" s="12">
        <f t="shared" si="11"/>
        <v>49</v>
      </c>
      <c r="AY52" s="12">
        <f t="shared" si="11"/>
        <v>50</v>
      </c>
      <c r="AZ52" s="12">
        <f t="shared" si="11"/>
        <v>51</v>
      </c>
      <c r="BA52" s="12">
        <f t="shared" si="11"/>
        <v>52</v>
      </c>
      <c r="BB52" s="12">
        <f t="shared" si="11"/>
        <v>53</v>
      </c>
      <c r="BC52" s="12">
        <f t="shared" si="11"/>
        <v>54</v>
      </c>
      <c r="BD52" s="12">
        <f t="shared" si="11"/>
        <v>55</v>
      </c>
      <c r="BE52" s="12">
        <f t="shared" si="11"/>
        <v>56</v>
      </c>
      <c r="BF52" s="12">
        <f t="shared" si="11"/>
        <v>57</v>
      </c>
      <c r="BG52" s="12">
        <f t="shared" si="11"/>
        <v>58</v>
      </c>
      <c r="BH52" s="12">
        <f t="shared" si="11"/>
        <v>59</v>
      </c>
      <c r="BI52" s="12">
        <f t="shared" si="11"/>
        <v>60</v>
      </c>
      <c r="BJ52" s="12">
        <f t="shared" si="11"/>
        <v>61</v>
      </c>
      <c r="BK52" s="12">
        <f t="shared" si="11"/>
        <v>62</v>
      </c>
      <c r="BL52" s="12">
        <f t="shared" si="11"/>
        <v>63</v>
      </c>
      <c r="BM52" s="12">
        <f t="shared" si="11"/>
        <v>64</v>
      </c>
      <c r="BN52" s="12">
        <f t="shared" si="11"/>
        <v>65</v>
      </c>
      <c r="BO52" s="12">
        <f t="shared" ref="BO52:CW52" si="12">IF(LEN(BO$3)&gt;0,BO$3,"")</f>
        <v>66</v>
      </c>
      <c r="BP52" s="12">
        <f t="shared" si="12"/>
        <v>67</v>
      </c>
      <c r="BQ52" s="12">
        <f t="shared" si="12"/>
        <v>68</v>
      </c>
      <c r="BR52" s="12">
        <f t="shared" si="12"/>
        <v>69</v>
      </c>
      <c r="BS52" s="12">
        <f t="shared" si="12"/>
        <v>70</v>
      </c>
      <c r="BT52" s="12">
        <f t="shared" si="12"/>
        <v>71</v>
      </c>
      <c r="BU52" s="12">
        <f t="shared" si="12"/>
        <v>72</v>
      </c>
      <c r="BV52" s="12">
        <f t="shared" si="12"/>
        <v>73</v>
      </c>
      <c r="BW52" s="12">
        <f t="shared" si="12"/>
        <v>74</v>
      </c>
      <c r="BX52" s="12">
        <f t="shared" si="12"/>
        <v>75</v>
      </c>
      <c r="BY52" s="12">
        <f t="shared" si="12"/>
        <v>76</v>
      </c>
      <c r="BZ52" s="12">
        <f t="shared" si="12"/>
        <v>77</v>
      </c>
      <c r="CA52" s="12">
        <f t="shared" si="12"/>
        <v>78</v>
      </c>
      <c r="CB52" s="12">
        <f t="shared" si="12"/>
        <v>79</v>
      </c>
      <c r="CC52" s="12">
        <f t="shared" si="12"/>
        <v>80</v>
      </c>
      <c r="CD52" s="12">
        <f t="shared" si="12"/>
        <v>81</v>
      </c>
      <c r="CE52" s="12">
        <f t="shared" si="12"/>
        <v>82</v>
      </c>
      <c r="CF52" s="12">
        <f t="shared" si="12"/>
        <v>83</v>
      </c>
      <c r="CG52" s="12">
        <f t="shared" si="12"/>
        <v>84</v>
      </c>
      <c r="CH52" s="12">
        <f t="shared" si="12"/>
        <v>85</v>
      </c>
      <c r="CI52" s="12">
        <f t="shared" si="12"/>
        <v>86</v>
      </c>
      <c r="CJ52" s="12">
        <f t="shared" si="12"/>
        <v>87</v>
      </c>
      <c r="CK52" s="12">
        <f t="shared" si="12"/>
        <v>88</v>
      </c>
      <c r="CL52" s="12">
        <f t="shared" si="12"/>
        <v>89</v>
      </c>
      <c r="CM52" s="12">
        <f t="shared" si="12"/>
        <v>90</v>
      </c>
      <c r="CN52" s="12">
        <f t="shared" si="12"/>
        <v>91</v>
      </c>
      <c r="CO52" s="12">
        <f t="shared" si="12"/>
        <v>92</v>
      </c>
      <c r="CP52" s="12">
        <f t="shared" si="12"/>
        <v>93</v>
      </c>
      <c r="CQ52" s="12">
        <f t="shared" si="12"/>
        <v>94</v>
      </c>
      <c r="CR52" s="12">
        <f t="shared" si="12"/>
        <v>95</v>
      </c>
      <c r="CS52" s="13">
        <f t="shared" si="12"/>
        <v>96</v>
      </c>
      <c r="CT52" s="13" t="str">
        <f t="shared" si="12"/>
        <v/>
      </c>
      <c r="CU52" s="13" t="str">
        <f t="shared" si="12"/>
        <v/>
      </c>
      <c r="CV52" s="13" t="str">
        <f t="shared" si="12"/>
        <v/>
      </c>
      <c r="CW52" s="17" t="str">
        <f t="shared" si="12"/>
        <v/>
      </c>
      <c r="CX52" s="18" t="s">
        <v>1</v>
      </c>
    </row>
    <row r="53" spans="1:102" ht="24.95" customHeight="1" thickBot="1" x14ac:dyDescent="0.25">
      <c r="A53" s="105" t="s">
        <v>28</v>
      </c>
      <c r="B53" s="106">
        <f>B17+B27+B41</f>
        <v>6908.5380000000005</v>
      </c>
      <c r="C53" s="107">
        <f t="shared" ref="C53:BN53" si="13">C17+C27+C41</f>
        <v>6842.0560000000005</v>
      </c>
      <c r="D53" s="107">
        <f t="shared" si="13"/>
        <v>6529.73</v>
      </c>
      <c r="E53" s="107">
        <f t="shared" si="13"/>
        <v>6221.0030000000006</v>
      </c>
      <c r="F53" s="107">
        <f t="shared" si="13"/>
        <v>6619.869999999999</v>
      </c>
      <c r="G53" s="107">
        <f t="shared" si="13"/>
        <v>6365.2910000000002</v>
      </c>
      <c r="H53" s="107">
        <f t="shared" si="13"/>
        <v>6257.6769999999997</v>
      </c>
      <c r="I53" s="107">
        <f t="shared" si="13"/>
        <v>6235.2039999999997</v>
      </c>
      <c r="J53" s="107">
        <f t="shared" si="13"/>
        <v>6228.58</v>
      </c>
      <c r="K53" s="107">
        <f t="shared" si="13"/>
        <v>5994.4120000000003</v>
      </c>
      <c r="L53" s="107">
        <f t="shared" si="13"/>
        <v>5955.7620000000006</v>
      </c>
      <c r="M53" s="107">
        <f t="shared" si="13"/>
        <v>5958.6850000000004</v>
      </c>
      <c r="N53" s="107">
        <f t="shared" si="13"/>
        <v>5878.1809999999996</v>
      </c>
      <c r="O53" s="107">
        <f t="shared" si="13"/>
        <v>5887.9350000000004</v>
      </c>
      <c r="P53" s="107">
        <f t="shared" si="13"/>
        <v>5866.3739999999998</v>
      </c>
      <c r="Q53" s="107">
        <f t="shared" si="13"/>
        <v>5850.9710000000005</v>
      </c>
      <c r="R53" s="107">
        <f t="shared" si="13"/>
        <v>5802.1080000000002</v>
      </c>
      <c r="S53" s="107">
        <f t="shared" si="13"/>
        <v>5796.942</v>
      </c>
      <c r="T53" s="107">
        <f t="shared" si="13"/>
        <v>5809.8670000000002</v>
      </c>
      <c r="U53" s="107">
        <f t="shared" si="13"/>
        <v>5832.7250000000004</v>
      </c>
      <c r="V53" s="107">
        <f t="shared" si="13"/>
        <v>5873.7870000000012</v>
      </c>
      <c r="W53" s="107">
        <f t="shared" si="13"/>
        <v>5905.4610000000002</v>
      </c>
      <c r="X53" s="107">
        <f t="shared" si="13"/>
        <v>5951.884</v>
      </c>
      <c r="Y53" s="107">
        <f t="shared" si="13"/>
        <v>6007.8330000000005</v>
      </c>
      <c r="Z53" s="107">
        <f t="shared" si="13"/>
        <v>6113.1980000000003</v>
      </c>
      <c r="AA53" s="107">
        <f t="shared" si="13"/>
        <v>6171.2139999999999</v>
      </c>
      <c r="AB53" s="107">
        <f t="shared" si="13"/>
        <v>6244.402</v>
      </c>
      <c r="AC53" s="107">
        <f t="shared" si="13"/>
        <v>6314.5660000000007</v>
      </c>
      <c r="AD53" s="107">
        <f t="shared" si="13"/>
        <v>6464.4629999999997</v>
      </c>
      <c r="AE53" s="107">
        <f t="shared" si="13"/>
        <v>6587.5830000000005</v>
      </c>
      <c r="AF53" s="107">
        <f t="shared" si="13"/>
        <v>6718.7549999999992</v>
      </c>
      <c r="AG53" s="107">
        <f t="shared" si="13"/>
        <v>6923.5560000000005</v>
      </c>
      <c r="AH53" s="107">
        <f t="shared" si="13"/>
        <v>7169.0820000000012</v>
      </c>
      <c r="AI53" s="107">
        <f t="shared" si="13"/>
        <v>7352.4770000000008</v>
      </c>
      <c r="AJ53" s="107">
        <f t="shared" si="13"/>
        <v>7862.6410000000014</v>
      </c>
      <c r="AK53" s="107">
        <f t="shared" si="13"/>
        <v>8247.1980000000003</v>
      </c>
      <c r="AL53" s="107">
        <f t="shared" si="13"/>
        <v>8216.34</v>
      </c>
      <c r="AM53" s="107">
        <f t="shared" si="13"/>
        <v>8419.4179999999997</v>
      </c>
      <c r="AN53" s="107">
        <f t="shared" si="13"/>
        <v>8528.4540000000015</v>
      </c>
      <c r="AO53" s="107">
        <f t="shared" si="13"/>
        <v>8750.6580000000013</v>
      </c>
      <c r="AP53" s="107">
        <f t="shared" si="13"/>
        <v>8945.8959999999988</v>
      </c>
      <c r="AQ53" s="107">
        <f t="shared" si="13"/>
        <v>9028.8170000000009</v>
      </c>
      <c r="AR53" s="107">
        <f t="shared" si="13"/>
        <v>9126.52</v>
      </c>
      <c r="AS53" s="107">
        <f t="shared" si="13"/>
        <v>9135.357</v>
      </c>
      <c r="AT53" s="107">
        <f t="shared" si="13"/>
        <v>9104.0590000000011</v>
      </c>
      <c r="AU53" s="107">
        <f t="shared" si="13"/>
        <v>9053.4459999999999</v>
      </c>
      <c r="AV53" s="107">
        <f t="shared" si="13"/>
        <v>8976.1749999999993</v>
      </c>
      <c r="AW53" s="107">
        <f t="shared" si="13"/>
        <v>8897.2350000000006</v>
      </c>
      <c r="AX53" s="107">
        <f t="shared" si="13"/>
        <v>8817.116</v>
      </c>
      <c r="AY53" s="107">
        <f t="shared" si="13"/>
        <v>8660.3029999999999</v>
      </c>
      <c r="AZ53" s="107">
        <f t="shared" si="13"/>
        <v>8499.2620000000006</v>
      </c>
      <c r="BA53" s="107">
        <f t="shared" si="13"/>
        <v>8298.7080000000005</v>
      </c>
      <c r="BB53" s="107">
        <f t="shared" si="13"/>
        <v>8087.6790000000001</v>
      </c>
      <c r="BC53" s="107">
        <f t="shared" si="13"/>
        <v>7886.8690000000006</v>
      </c>
      <c r="BD53" s="107">
        <f t="shared" si="13"/>
        <v>7811.9269999999997</v>
      </c>
      <c r="BE53" s="107">
        <f t="shared" si="13"/>
        <v>7747.4430000000011</v>
      </c>
      <c r="BF53" s="107">
        <f t="shared" si="13"/>
        <v>7449.9650000000001</v>
      </c>
      <c r="BG53" s="107">
        <f t="shared" si="13"/>
        <v>7405.3109999999997</v>
      </c>
      <c r="BH53" s="107">
        <f t="shared" si="13"/>
        <v>7373.4950000000008</v>
      </c>
      <c r="BI53" s="107">
        <f t="shared" si="13"/>
        <v>7300.4230000000007</v>
      </c>
      <c r="BJ53" s="107">
        <f t="shared" si="13"/>
        <v>7340.7219999999998</v>
      </c>
      <c r="BK53" s="107">
        <f t="shared" si="13"/>
        <v>7371.0020000000004</v>
      </c>
      <c r="BL53" s="107">
        <f t="shared" si="13"/>
        <v>7430.8249999999998</v>
      </c>
      <c r="BM53" s="107">
        <f t="shared" si="13"/>
        <v>7418.951</v>
      </c>
      <c r="BN53" s="107">
        <f t="shared" si="13"/>
        <v>7141.73</v>
      </c>
      <c r="BO53" s="107">
        <f t="shared" ref="BO53:CX53" si="14">BO17+BO27+BO41</f>
        <v>7270.2790000000005</v>
      </c>
      <c r="BP53" s="107">
        <f t="shared" si="14"/>
        <v>7422.2910000000002</v>
      </c>
      <c r="BQ53" s="107">
        <f t="shared" si="14"/>
        <v>7553.8679999999995</v>
      </c>
      <c r="BR53" s="107">
        <f t="shared" si="14"/>
        <v>7741.759</v>
      </c>
      <c r="BS53" s="107">
        <f t="shared" si="14"/>
        <v>7834.9650000000001</v>
      </c>
      <c r="BT53" s="107">
        <f t="shared" si="14"/>
        <v>7899.9269999999997</v>
      </c>
      <c r="BU53" s="107">
        <f t="shared" si="14"/>
        <v>7930.6929999999993</v>
      </c>
      <c r="BV53" s="107">
        <f t="shared" si="14"/>
        <v>7900.24</v>
      </c>
      <c r="BW53" s="107">
        <f t="shared" si="14"/>
        <v>7905.7120000000004</v>
      </c>
      <c r="BX53" s="107">
        <f t="shared" si="14"/>
        <v>7949.3089999999993</v>
      </c>
      <c r="BY53" s="107">
        <f t="shared" si="14"/>
        <v>7947.9679999999998</v>
      </c>
      <c r="BZ53" s="107">
        <f t="shared" si="14"/>
        <v>7904.2479999999996</v>
      </c>
      <c r="CA53" s="107">
        <f t="shared" si="14"/>
        <v>7888.6149999999998</v>
      </c>
      <c r="CB53" s="107">
        <f t="shared" si="14"/>
        <v>7815.8609999999999</v>
      </c>
      <c r="CC53" s="107">
        <f t="shared" si="14"/>
        <v>7697.2820000000002</v>
      </c>
      <c r="CD53" s="107">
        <f t="shared" si="14"/>
        <v>7645.076</v>
      </c>
      <c r="CE53" s="107">
        <f t="shared" si="14"/>
        <v>7573.1130000000003</v>
      </c>
      <c r="CF53" s="107">
        <f t="shared" si="14"/>
        <v>7494.0989999999993</v>
      </c>
      <c r="CG53" s="107">
        <f t="shared" si="14"/>
        <v>7454.0360000000001</v>
      </c>
      <c r="CH53" s="107">
        <f t="shared" si="14"/>
        <v>7316.7069999999994</v>
      </c>
      <c r="CI53" s="107">
        <f t="shared" si="14"/>
        <v>7242.1130000000003</v>
      </c>
      <c r="CJ53" s="107">
        <f t="shared" si="14"/>
        <v>7209.3759999999993</v>
      </c>
      <c r="CK53" s="107">
        <f t="shared" si="14"/>
        <v>7137.2769999999991</v>
      </c>
      <c r="CL53" s="107">
        <f t="shared" si="14"/>
        <v>6982.1060000000007</v>
      </c>
      <c r="CM53" s="107">
        <f t="shared" si="14"/>
        <v>6811.7790000000005</v>
      </c>
      <c r="CN53" s="107">
        <f t="shared" si="14"/>
        <v>6778.8909999999996</v>
      </c>
      <c r="CO53" s="107">
        <f t="shared" si="14"/>
        <v>6655.0730000000003</v>
      </c>
      <c r="CP53" s="107">
        <f t="shared" si="14"/>
        <v>6927.4560000000001</v>
      </c>
      <c r="CQ53" s="107">
        <f t="shared" si="14"/>
        <v>6778.3280000000004</v>
      </c>
      <c r="CR53" s="107">
        <f t="shared" si="14"/>
        <v>6643.8559999999998</v>
      </c>
      <c r="CS53" s="107">
        <f t="shared" si="14"/>
        <v>6517.28</v>
      </c>
      <c r="CT53" s="108">
        <f t="shared" si="14"/>
        <v>0</v>
      </c>
      <c r="CU53" s="108">
        <f t="shared" si="14"/>
        <v>0</v>
      </c>
      <c r="CV53" s="108">
        <f t="shared" si="14"/>
        <v>0</v>
      </c>
      <c r="CW53" s="109">
        <f t="shared" si="14"/>
        <v>0</v>
      </c>
      <c r="CX53" s="126">
        <f t="shared" si="14"/>
        <v>174200.92499999993</v>
      </c>
    </row>
  </sheetData>
  <mergeCells count="35">
    <mergeCell ref="B28:CX28"/>
    <mergeCell ref="B29:CW29"/>
    <mergeCell ref="B34:CX34"/>
    <mergeCell ref="B35:CX35"/>
    <mergeCell ref="B43:CX43"/>
    <mergeCell ref="CT2:CW2"/>
    <mergeCell ref="B4:CX4"/>
    <mergeCell ref="B7:CX7"/>
    <mergeCell ref="B10:CW10"/>
    <mergeCell ref="B18:CX18"/>
    <mergeCell ref="B19:CW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conditionalFormatting sqref="B8:CW8">
    <cfRule type="cellIs" dxfId="1" priority="1" operator="greaterThan">
      <formula>1500</formula>
    </cfRule>
  </conditionalFormatting>
  <pageMargins left="0.11811023622047245" right="0.11811023622047245" top="0.35433070866141736" bottom="0.31496062992125984" header="0.19685039370078741" footer="0.19685039370078741"/>
  <pageSetup paperSize="9" scale="41" fitToWidth="4" fitToHeight="4" orientation="landscape" horizontalDpi="300" verticalDpi="300" r:id="rId1"/>
  <headerFooter>
    <oddHeader>&amp;L&amp;12&amp;K000000&amp;A</oddHeader>
    <oddFooter>&amp;R&amp;12&amp;D,&amp;T</oddFooter>
  </headerFooter>
  <colBreaks count="3" manualBreakCount="3">
    <brk id="25" max="53" man="1"/>
    <brk id="49" max="53" man="1"/>
    <brk id="73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CX53"/>
  <sheetViews>
    <sheetView showGridLines="0" zoomScale="60" zoomScaleNormal="60" workbookViewId="0">
      <pane xSplit="1" ySplit="3" topLeftCell="B4" activePane="bottomRight" state="frozen"/>
      <selection sqref="A1:XFD1048576"/>
      <selection pane="topRight" sqref="A1:XFD1048576"/>
      <selection pane="bottomLeft" sqref="A1:XFD1048576"/>
      <selection pane="bottomRight" activeCell="A8" sqref="A8:A9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54</v>
      </c>
      <c r="B1" s="2"/>
      <c r="C1" s="2" t="s">
        <v>0</v>
      </c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127"/>
    </row>
    <row r="3" spans="1:102" ht="30" customHeight="1" thickBot="1" x14ac:dyDescent="0.25">
      <c r="A3" s="10">
        <v>46023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28" t="s">
        <v>1</v>
      </c>
    </row>
    <row r="4" spans="1:102" ht="30" customHeight="1" thickBot="1" x14ac:dyDescent="0.25">
      <c r="A4" s="19" t="s">
        <v>39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6908.5230000000001</v>
      </c>
      <c r="C5" s="25">
        <v>6842.0429999999997</v>
      </c>
      <c r="D5" s="25">
        <v>6529.7020000000002</v>
      </c>
      <c r="E5" s="25">
        <v>6221.0309999999999</v>
      </c>
      <c r="F5" s="25">
        <v>6619.8469999999998</v>
      </c>
      <c r="G5" s="25">
        <v>6365.2640000000001</v>
      </c>
      <c r="H5" s="25">
        <v>6257.6940000000004</v>
      </c>
      <c r="I5" s="25">
        <v>6235.183</v>
      </c>
      <c r="J5" s="25">
        <v>6228.5739999999996</v>
      </c>
      <c r="K5" s="25">
        <v>5994.4449999999997</v>
      </c>
      <c r="L5" s="25">
        <v>5955.7830000000004</v>
      </c>
      <c r="M5" s="25">
        <v>5958.64</v>
      </c>
      <c r="N5" s="25">
        <v>5878.1459999999997</v>
      </c>
      <c r="O5" s="25">
        <v>5887.9279999999999</v>
      </c>
      <c r="P5" s="25">
        <v>5866.3370000000004</v>
      </c>
      <c r="Q5" s="25">
        <v>5850.9430000000002</v>
      </c>
      <c r="R5" s="25">
        <v>5802.1379999999999</v>
      </c>
      <c r="S5" s="25">
        <v>5796.9229999999998</v>
      </c>
      <c r="T5" s="25">
        <v>5809.8739999999998</v>
      </c>
      <c r="U5" s="25">
        <v>5832.6859999999997</v>
      </c>
      <c r="V5" s="25">
        <v>5873.7510000000002</v>
      </c>
      <c r="W5" s="25">
        <v>5905.4319999999998</v>
      </c>
      <c r="X5" s="25">
        <v>5951.8590000000004</v>
      </c>
      <c r="Y5" s="25">
        <v>6007.8140000000003</v>
      </c>
      <c r="Z5" s="25">
        <v>6113.1779999999999</v>
      </c>
      <c r="AA5" s="25">
        <v>6171.2150000000001</v>
      </c>
      <c r="AB5" s="25">
        <v>6244.424</v>
      </c>
      <c r="AC5" s="25">
        <v>6314.5159999999996</v>
      </c>
      <c r="AD5" s="25">
        <v>6464.5079999999998</v>
      </c>
      <c r="AE5" s="25">
        <v>6587.5780000000004</v>
      </c>
      <c r="AF5" s="25">
        <v>6718.7309999999998</v>
      </c>
      <c r="AG5" s="25">
        <v>6923.5349999999999</v>
      </c>
      <c r="AH5" s="25">
        <v>7169.1210000000001</v>
      </c>
      <c r="AI5" s="25">
        <v>7352.4859999999999</v>
      </c>
      <c r="AJ5" s="25">
        <v>7862.6779999999999</v>
      </c>
      <c r="AK5" s="25">
        <v>8247.1959999999999</v>
      </c>
      <c r="AL5" s="25">
        <v>8216.3009999999995</v>
      </c>
      <c r="AM5" s="25">
        <v>8419.387999999999</v>
      </c>
      <c r="AN5" s="25">
        <v>8528.4390000000003</v>
      </c>
      <c r="AO5" s="25">
        <v>8750.6610000000001</v>
      </c>
      <c r="AP5" s="25">
        <v>8945.8680000000004</v>
      </c>
      <c r="AQ5" s="25">
        <v>9028.7890000000007</v>
      </c>
      <c r="AR5" s="25">
        <v>9126.4809999999998</v>
      </c>
      <c r="AS5" s="25">
        <v>9135.3870000000006</v>
      </c>
      <c r="AT5" s="25">
        <v>9104.0609999999997</v>
      </c>
      <c r="AU5" s="25">
        <v>9053.4789999999994</v>
      </c>
      <c r="AV5" s="25">
        <v>8976.2189999999991</v>
      </c>
      <c r="AW5" s="25">
        <v>8897.2649999999994</v>
      </c>
      <c r="AX5" s="25">
        <v>8817.07</v>
      </c>
      <c r="AY5" s="25">
        <v>8660.2839999999997</v>
      </c>
      <c r="AZ5" s="25">
        <v>8499.2250000000004</v>
      </c>
      <c r="BA5" s="25">
        <v>8298.7289999999994</v>
      </c>
      <c r="BB5" s="25">
        <v>8087.6620000000003</v>
      </c>
      <c r="BC5" s="25">
        <v>7886.9009999999998</v>
      </c>
      <c r="BD5" s="25">
        <v>7811.8860000000004</v>
      </c>
      <c r="BE5" s="25">
        <v>7747.4229999999998</v>
      </c>
      <c r="BF5" s="25">
        <v>7449.99</v>
      </c>
      <c r="BG5" s="25">
        <v>7405.2719999999999</v>
      </c>
      <c r="BH5" s="25">
        <v>7373.5259999999998</v>
      </c>
      <c r="BI5" s="25">
        <v>7300.4380000000001</v>
      </c>
      <c r="BJ5" s="25">
        <v>7340.7219999999998</v>
      </c>
      <c r="BK5" s="25">
        <v>7371.0020000000004</v>
      </c>
      <c r="BL5" s="25">
        <v>7430.8209999999999</v>
      </c>
      <c r="BM5" s="25">
        <v>7418.951</v>
      </c>
      <c r="BN5" s="25">
        <v>7141.7290000000003</v>
      </c>
      <c r="BO5" s="25">
        <v>7270.2430000000004</v>
      </c>
      <c r="BP5" s="25">
        <v>7422.3140000000003</v>
      </c>
      <c r="BQ5" s="25">
        <v>7553.8429999999998</v>
      </c>
      <c r="BR5" s="25">
        <v>7741.7979999999998</v>
      </c>
      <c r="BS5" s="25">
        <v>7834.9989999999998</v>
      </c>
      <c r="BT5" s="25">
        <v>7899.9660000000003</v>
      </c>
      <c r="BU5" s="25">
        <v>7930.732</v>
      </c>
      <c r="BV5" s="25">
        <v>7900.2020000000002</v>
      </c>
      <c r="BW5" s="25">
        <v>7905.674</v>
      </c>
      <c r="BX5" s="25">
        <v>7949.2489999999998</v>
      </c>
      <c r="BY5" s="25">
        <v>7947.93</v>
      </c>
      <c r="BZ5" s="25">
        <v>7904.2820000000002</v>
      </c>
      <c r="CA5" s="25">
        <v>7888.6980000000003</v>
      </c>
      <c r="CB5" s="25">
        <v>7815.8950000000004</v>
      </c>
      <c r="CC5" s="25">
        <v>7697.3159999999998</v>
      </c>
      <c r="CD5" s="25">
        <v>7645.076</v>
      </c>
      <c r="CE5" s="25">
        <v>7573.1130000000003</v>
      </c>
      <c r="CF5" s="25">
        <v>7494.0990000000002</v>
      </c>
      <c r="CG5" s="25">
        <v>7454.05</v>
      </c>
      <c r="CH5" s="25">
        <v>7316.6750000000002</v>
      </c>
      <c r="CI5" s="25">
        <v>7242.0810000000001</v>
      </c>
      <c r="CJ5" s="25">
        <v>7209.3440000000001</v>
      </c>
      <c r="CK5" s="25">
        <v>7137.2449999999999</v>
      </c>
      <c r="CL5" s="25">
        <v>6982.1440000000002</v>
      </c>
      <c r="CM5" s="25">
        <v>6811.817</v>
      </c>
      <c r="CN5" s="25">
        <v>6778.9279999999999</v>
      </c>
      <c r="CO5" s="25">
        <v>6655.1109999999999</v>
      </c>
      <c r="CP5" s="25">
        <v>6927.4560000000001</v>
      </c>
      <c r="CQ5" s="25">
        <v>6778.3280000000004</v>
      </c>
      <c r="CR5" s="25">
        <v>6643.8559999999998</v>
      </c>
      <c r="CS5" s="25">
        <v>6517.28</v>
      </c>
      <c r="CT5" s="26"/>
      <c r="CU5" s="26"/>
      <c r="CV5" s="26"/>
      <c r="CW5" s="27"/>
      <c r="CX5" s="28">
        <f t="array" ref="CX5">SUMPRODUCT(B5:CW5*0.25)</f>
        <v>174200.85975000009</v>
      </c>
    </row>
    <row r="6" spans="1:102" ht="24.95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2" ht="24.95" customHeight="1" x14ac:dyDescent="0.2">
      <c r="A8" s="35" t="s">
        <v>5</v>
      </c>
      <c r="B8" s="36">
        <v>104.05</v>
      </c>
      <c r="C8" s="37">
        <v>98.71</v>
      </c>
      <c r="D8" s="37">
        <v>97.98</v>
      </c>
      <c r="E8" s="37">
        <v>91.66</v>
      </c>
      <c r="F8" s="37">
        <v>99.07</v>
      </c>
      <c r="G8" s="37">
        <v>97.24</v>
      </c>
      <c r="H8" s="37">
        <v>93.14</v>
      </c>
      <c r="I8" s="37">
        <v>86.33</v>
      </c>
      <c r="J8" s="37">
        <v>97.5</v>
      </c>
      <c r="K8" s="37">
        <v>89.43</v>
      </c>
      <c r="L8" s="37">
        <v>86.3</v>
      </c>
      <c r="M8" s="37">
        <v>79</v>
      </c>
      <c r="N8" s="37">
        <v>82.61</v>
      </c>
      <c r="O8" s="37">
        <v>77.77</v>
      </c>
      <c r="P8" s="37">
        <v>74.94</v>
      </c>
      <c r="Q8" s="37">
        <v>76.650000000000006</v>
      </c>
      <c r="R8" s="37">
        <v>69.45</v>
      </c>
      <c r="S8" s="37">
        <v>70.319999999999993</v>
      </c>
      <c r="T8" s="37">
        <v>74.25</v>
      </c>
      <c r="U8" s="37">
        <v>74.25</v>
      </c>
      <c r="V8" s="37">
        <v>52.34</v>
      </c>
      <c r="W8" s="37">
        <v>73.180000000000007</v>
      </c>
      <c r="X8" s="37">
        <v>75.349999999999994</v>
      </c>
      <c r="Y8" s="37">
        <v>80.209999999999994</v>
      </c>
      <c r="Z8" s="37">
        <v>75.59</v>
      </c>
      <c r="AA8" s="37">
        <v>80.36</v>
      </c>
      <c r="AB8" s="37">
        <v>83.01</v>
      </c>
      <c r="AC8" s="37">
        <v>85.99</v>
      </c>
      <c r="AD8" s="37">
        <v>83.71</v>
      </c>
      <c r="AE8" s="37">
        <v>75.27</v>
      </c>
      <c r="AF8" s="37">
        <v>61.11</v>
      </c>
      <c r="AG8" s="37">
        <v>48.81</v>
      </c>
      <c r="AH8" s="37">
        <v>48.15</v>
      </c>
      <c r="AI8" s="37">
        <v>43.09</v>
      </c>
      <c r="AJ8" s="37">
        <v>43.11</v>
      </c>
      <c r="AK8" s="37">
        <v>37.409999999999997</v>
      </c>
      <c r="AL8" s="37">
        <v>51.02</v>
      </c>
      <c r="AM8" s="37">
        <v>46.16</v>
      </c>
      <c r="AN8" s="37">
        <v>29.95</v>
      </c>
      <c r="AO8" s="37">
        <v>10.25</v>
      </c>
      <c r="AP8" s="37">
        <v>15.1</v>
      </c>
      <c r="AQ8" s="37">
        <v>24.85</v>
      </c>
      <c r="AR8" s="37">
        <v>22.27</v>
      </c>
      <c r="AS8" s="37">
        <v>10.23</v>
      </c>
      <c r="AT8" s="37">
        <v>39.44</v>
      </c>
      <c r="AU8" s="37">
        <v>21.09</v>
      </c>
      <c r="AV8" s="37">
        <v>25.17</v>
      </c>
      <c r="AW8" s="37">
        <v>20.28</v>
      </c>
      <c r="AX8" s="37">
        <v>22.48</v>
      </c>
      <c r="AY8" s="37">
        <v>26.06</v>
      </c>
      <c r="AZ8" s="37">
        <v>29.66</v>
      </c>
      <c r="BA8" s="37">
        <v>34.630000000000003</v>
      </c>
      <c r="BB8" s="37">
        <v>40.01</v>
      </c>
      <c r="BC8" s="37">
        <v>40</v>
      </c>
      <c r="BD8" s="37">
        <v>31.94</v>
      </c>
      <c r="BE8" s="37">
        <v>32.96</v>
      </c>
      <c r="BF8" s="37">
        <v>38.99</v>
      </c>
      <c r="BG8" s="37">
        <v>54.88</v>
      </c>
      <c r="BH8" s="37">
        <v>54.69</v>
      </c>
      <c r="BI8" s="37">
        <v>80.27</v>
      </c>
      <c r="BJ8" s="37">
        <v>81.010000000000005</v>
      </c>
      <c r="BK8" s="37">
        <v>86.08</v>
      </c>
      <c r="BL8" s="37">
        <v>104.05</v>
      </c>
      <c r="BM8" s="37">
        <v>132.24</v>
      </c>
      <c r="BN8" s="37">
        <v>108.78</v>
      </c>
      <c r="BO8" s="37">
        <v>110.89</v>
      </c>
      <c r="BP8" s="37">
        <v>123.08</v>
      </c>
      <c r="BQ8" s="37">
        <v>103.07</v>
      </c>
      <c r="BR8" s="37">
        <v>125.05</v>
      </c>
      <c r="BS8" s="37">
        <v>123.57</v>
      </c>
      <c r="BT8" s="37">
        <v>109.46</v>
      </c>
      <c r="BU8" s="37">
        <v>121.92</v>
      </c>
      <c r="BV8" s="37">
        <v>126.87</v>
      </c>
      <c r="BW8" s="37">
        <v>127.54</v>
      </c>
      <c r="BX8" s="37">
        <v>118.71</v>
      </c>
      <c r="BY8" s="37">
        <v>108.15</v>
      </c>
      <c r="BZ8" s="37">
        <v>106.36</v>
      </c>
      <c r="CA8" s="37">
        <v>105.64</v>
      </c>
      <c r="CB8" s="37">
        <v>129.18</v>
      </c>
      <c r="CC8" s="37">
        <v>140.47</v>
      </c>
      <c r="CD8" s="37">
        <v>127.85</v>
      </c>
      <c r="CE8" s="37">
        <v>125.38</v>
      </c>
      <c r="CF8" s="37">
        <v>120.18</v>
      </c>
      <c r="CG8" s="37">
        <v>104.05</v>
      </c>
      <c r="CH8" s="37">
        <v>127.9</v>
      </c>
      <c r="CI8" s="37">
        <v>125.27</v>
      </c>
      <c r="CJ8" s="37">
        <v>107.46</v>
      </c>
      <c r="CK8" s="37">
        <v>99.37</v>
      </c>
      <c r="CL8" s="37">
        <v>108.27</v>
      </c>
      <c r="CM8" s="37">
        <v>126.37</v>
      </c>
      <c r="CN8" s="37">
        <v>104.06</v>
      </c>
      <c r="CO8" s="37">
        <v>98.42</v>
      </c>
      <c r="CP8" s="37">
        <v>98.97</v>
      </c>
      <c r="CQ8" s="37">
        <v>97.37</v>
      </c>
      <c r="CR8" s="37">
        <v>97.18</v>
      </c>
      <c r="CS8" s="37">
        <v>95.98</v>
      </c>
      <c r="CT8" s="38"/>
      <c r="CU8" s="38"/>
      <c r="CV8" s="38"/>
      <c r="CW8" s="39"/>
      <c r="CX8" s="40">
        <f>IF(SUM(B8:CW8)&lt;&gt;0,AVERAGEIF(B8:CW8,"&lt;&gt;"""),"")</f>
        <v>79.436666666666682</v>
      </c>
    </row>
    <row r="9" spans="1:102" ht="24.95" customHeight="1" thickBot="1" x14ac:dyDescent="0.25">
      <c r="A9" s="41" t="s">
        <v>6</v>
      </c>
      <c r="B9" s="42">
        <v>98.1</v>
      </c>
      <c r="C9" s="43">
        <v>98.1</v>
      </c>
      <c r="D9" s="43">
        <v>98.1</v>
      </c>
      <c r="E9" s="43">
        <v>98.1</v>
      </c>
      <c r="F9" s="43">
        <v>93.944999999999993</v>
      </c>
      <c r="G9" s="43">
        <v>93.944999999999993</v>
      </c>
      <c r="H9" s="43">
        <v>93.944999999999993</v>
      </c>
      <c r="I9" s="43">
        <v>93.944999999999993</v>
      </c>
      <c r="J9" s="43">
        <v>88.057500000000005</v>
      </c>
      <c r="K9" s="43">
        <v>88.057500000000005</v>
      </c>
      <c r="L9" s="43">
        <v>88.057500000000005</v>
      </c>
      <c r="M9" s="43">
        <v>88.057500000000005</v>
      </c>
      <c r="N9" s="43">
        <v>77.992500000000007</v>
      </c>
      <c r="O9" s="43">
        <v>77.992500000000007</v>
      </c>
      <c r="P9" s="43">
        <v>77.992500000000007</v>
      </c>
      <c r="Q9" s="43">
        <v>77.992500000000007</v>
      </c>
      <c r="R9" s="43">
        <v>72.067499999999995</v>
      </c>
      <c r="S9" s="43">
        <v>72.067499999999995</v>
      </c>
      <c r="T9" s="43">
        <v>72.067499999999995</v>
      </c>
      <c r="U9" s="43">
        <v>72.067499999999995</v>
      </c>
      <c r="V9" s="43">
        <v>70.27</v>
      </c>
      <c r="W9" s="43">
        <v>70.27</v>
      </c>
      <c r="X9" s="43">
        <v>70.27</v>
      </c>
      <c r="Y9" s="43">
        <v>70.27</v>
      </c>
      <c r="Z9" s="43">
        <v>81.237499999999997</v>
      </c>
      <c r="AA9" s="43">
        <v>81.237499999999997</v>
      </c>
      <c r="AB9" s="43">
        <v>81.237499999999997</v>
      </c>
      <c r="AC9" s="43">
        <v>81.237499999999997</v>
      </c>
      <c r="AD9" s="43">
        <v>67.224999999999994</v>
      </c>
      <c r="AE9" s="43">
        <v>67.224999999999994</v>
      </c>
      <c r="AF9" s="43">
        <v>67.224999999999994</v>
      </c>
      <c r="AG9" s="43">
        <v>67.224999999999994</v>
      </c>
      <c r="AH9" s="43">
        <v>42.94</v>
      </c>
      <c r="AI9" s="43">
        <v>42.94</v>
      </c>
      <c r="AJ9" s="43">
        <v>42.94</v>
      </c>
      <c r="AK9" s="43">
        <v>42.94</v>
      </c>
      <c r="AL9" s="43">
        <v>34.344999999999999</v>
      </c>
      <c r="AM9" s="43">
        <v>34.344999999999999</v>
      </c>
      <c r="AN9" s="43">
        <v>34.344999999999999</v>
      </c>
      <c r="AO9" s="43">
        <v>34.344999999999999</v>
      </c>
      <c r="AP9" s="43">
        <v>18.112500000000001</v>
      </c>
      <c r="AQ9" s="43">
        <v>18.112500000000001</v>
      </c>
      <c r="AR9" s="43">
        <v>18.112500000000001</v>
      </c>
      <c r="AS9" s="43">
        <v>18.112500000000001</v>
      </c>
      <c r="AT9" s="43">
        <v>26.495000000000001</v>
      </c>
      <c r="AU9" s="43">
        <v>26.495000000000001</v>
      </c>
      <c r="AV9" s="43">
        <v>26.495000000000001</v>
      </c>
      <c r="AW9" s="43">
        <v>26.495000000000001</v>
      </c>
      <c r="AX9" s="43">
        <v>28.2075</v>
      </c>
      <c r="AY9" s="43">
        <v>28.2075</v>
      </c>
      <c r="AZ9" s="43">
        <v>28.2075</v>
      </c>
      <c r="BA9" s="43">
        <v>28.2075</v>
      </c>
      <c r="BB9" s="43">
        <v>36.227499999999999</v>
      </c>
      <c r="BC9" s="43">
        <v>36.227499999999999</v>
      </c>
      <c r="BD9" s="43">
        <v>36.227499999999999</v>
      </c>
      <c r="BE9" s="43">
        <v>36.227499999999999</v>
      </c>
      <c r="BF9" s="43">
        <v>57.207500000000003</v>
      </c>
      <c r="BG9" s="43">
        <v>57.207500000000003</v>
      </c>
      <c r="BH9" s="43">
        <v>57.207500000000003</v>
      </c>
      <c r="BI9" s="43">
        <v>57.207500000000003</v>
      </c>
      <c r="BJ9" s="43">
        <v>100.845</v>
      </c>
      <c r="BK9" s="43">
        <v>100.845</v>
      </c>
      <c r="BL9" s="43">
        <v>100.845</v>
      </c>
      <c r="BM9" s="43">
        <v>100.845</v>
      </c>
      <c r="BN9" s="43">
        <v>111.455</v>
      </c>
      <c r="BO9" s="43">
        <v>111.455</v>
      </c>
      <c r="BP9" s="43">
        <v>111.455</v>
      </c>
      <c r="BQ9" s="43">
        <v>111.455</v>
      </c>
      <c r="BR9" s="43">
        <v>120</v>
      </c>
      <c r="BS9" s="43">
        <v>120</v>
      </c>
      <c r="BT9" s="43">
        <v>120</v>
      </c>
      <c r="BU9" s="43">
        <v>120</v>
      </c>
      <c r="BV9" s="43">
        <v>120.3175</v>
      </c>
      <c r="BW9" s="43">
        <v>120.3175</v>
      </c>
      <c r="BX9" s="43">
        <v>120.3175</v>
      </c>
      <c r="BY9" s="43">
        <v>120.3175</v>
      </c>
      <c r="BZ9" s="43">
        <v>120.41249999999999</v>
      </c>
      <c r="CA9" s="43">
        <v>120.41249999999999</v>
      </c>
      <c r="CB9" s="43">
        <v>120.41249999999999</v>
      </c>
      <c r="CC9" s="43">
        <v>120.41249999999999</v>
      </c>
      <c r="CD9" s="43">
        <v>119.36499999999999</v>
      </c>
      <c r="CE9" s="43">
        <v>119.36499999999999</v>
      </c>
      <c r="CF9" s="43">
        <v>119.36499999999999</v>
      </c>
      <c r="CG9" s="43">
        <v>119.36499999999999</v>
      </c>
      <c r="CH9" s="43">
        <v>115</v>
      </c>
      <c r="CI9" s="43">
        <v>115</v>
      </c>
      <c r="CJ9" s="43">
        <v>115</v>
      </c>
      <c r="CK9" s="43">
        <v>115</v>
      </c>
      <c r="CL9" s="43">
        <v>109.28</v>
      </c>
      <c r="CM9" s="43">
        <v>109.28</v>
      </c>
      <c r="CN9" s="43">
        <v>109.28</v>
      </c>
      <c r="CO9" s="43">
        <v>109.28</v>
      </c>
      <c r="CP9" s="43">
        <v>97.375</v>
      </c>
      <c r="CQ9" s="43">
        <v>97.375</v>
      </c>
      <c r="CR9" s="43">
        <v>97.375</v>
      </c>
      <c r="CS9" s="43">
        <v>97.375</v>
      </c>
      <c r="CT9" s="44"/>
      <c r="CU9" s="44"/>
      <c r="CV9" s="44"/>
      <c r="CW9" s="45"/>
      <c r="CX9" s="46">
        <f>IF(SUM(B9:CW9)&lt;&gt;0,AVERAGEIF(B9:CW9,"&lt;&gt;"""),"")</f>
        <v>79.436666666666653</v>
      </c>
    </row>
    <row r="10" spans="1:102" ht="30" customHeight="1" thickBot="1" x14ac:dyDescent="0.25">
      <c r="A10" s="47" t="s">
        <v>7</v>
      </c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50"/>
      <c r="CX10" s="18" t="s">
        <v>1</v>
      </c>
    </row>
    <row r="11" spans="1:102" ht="24.95" customHeight="1" x14ac:dyDescent="0.2">
      <c r="A11" s="51" t="s">
        <v>8</v>
      </c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4"/>
      <c r="CU11" s="54"/>
      <c r="CV11" s="54"/>
      <c r="CW11" s="55"/>
      <c r="CX11" s="56">
        <f t="array" ref="CX11">SUMPRODUCT(B11:CW11*0.25)</f>
        <v>0</v>
      </c>
    </row>
    <row r="12" spans="1:102" ht="24.95" customHeight="1" x14ac:dyDescent="0.2">
      <c r="A12" s="57" t="s">
        <v>9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60"/>
      <c r="CU12" s="60"/>
      <c r="CV12" s="60"/>
      <c r="CW12" s="61"/>
      <c r="CX12" s="62">
        <f t="array" ref="CX12">SUMPRODUCT(B12:CW12*0.25)</f>
        <v>0</v>
      </c>
    </row>
    <row r="13" spans="1:102" ht="24.95" customHeight="1" x14ac:dyDescent="0.2">
      <c r="A13" s="63" t="s">
        <v>10</v>
      </c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6"/>
      <c r="CU13" s="66"/>
      <c r="CV13" s="66"/>
      <c r="CW13" s="67"/>
      <c r="CX13" s="68">
        <f t="array" ref="CX13">SUMPRODUCT(B13:CW13*0.25)</f>
        <v>0</v>
      </c>
    </row>
    <row r="14" spans="1:102" ht="24.95" customHeight="1" x14ac:dyDescent="0.2">
      <c r="A14" s="63" t="s">
        <v>11</v>
      </c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6"/>
      <c r="CU14" s="66"/>
      <c r="CV14" s="66"/>
      <c r="CW14" s="67"/>
      <c r="CX14" s="68">
        <f t="array" ref="CX14">SUMPRODUCT(B14:CW14*0.25)</f>
        <v>0</v>
      </c>
    </row>
    <row r="15" spans="1:102" ht="24.95" customHeight="1" x14ac:dyDescent="0.2">
      <c r="A15" s="69" t="s">
        <v>12</v>
      </c>
      <c r="B15" s="70">
        <v>55</v>
      </c>
      <c r="C15" s="71">
        <v>55</v>
      </c>
      <c r="D15" s="71">
        <v>55</v>
      </c>
      <c r="E15" s="71">
        <v>55</v>
      </c>
      <c r="F15" s="71">
        <v>55</v>
      </c>
      <c r="G15" s="71">
        <v>55</v>
      </c>
      <c r="H15" s="71">
        <v>55</v>
      </c>
      <c r="I15" s="71">
        <v>55</v>
      </c>
      <c r="J15" s="71">
        <v>55</v>
      </c>
      <c r="K15" s="71">
        <v>55</v>
      </c>
      <c r="L15" s="71">
        <v>55</v>
      </c>
      <c r="M15" s="71">
        <v>55</v>
      </c>
      <c r="N15" s="71">
        <v>55</v>
      </c>
      <c r="O15" s="71">
        <v>55</v>
      </c>
      <c r="P15" s="71">
        <v>55</v>
      </c>
      <c r="Q15" s="71">
        <v>55</v>
      </c>
      <c r="R15" s="71">
        <v>55</v>
      </c>
      <c r="S15" s="71">
        <v>55</v>
      </c>
      <c r="T15" s="71">
        <v>55</v>
      </c>
      <c r="U15" s="71">
        <v>55</v>
      </c>
      <c r="V15" s="71">
        <v>55</v>
      </c>
      <c r="W15" s="71">
        <v>55</v>
      </c>
      <c r="X15" s="71">
        <v>55</v>
      </c>
      <c r="Y15" s="71">
        <v>55</v>
      </c>
      <c r="Z15" s="71">
        <v>55</v>
      </c>
      <c r="AA15" s="71">
        <v>55</v>
      </c>
      <c r="AB15" s="71">
        <v>55</v>
      </c>
      <c r="AC15" s="71">
        <v>52.911999999999999</v>
      </c>
      <c r="AD15" s="71">
        <v>49.008000000000003</v>
      </c>
      <c r="AE15" s="71">
        <v>42.911999999999999</v>
      </c>
      <c r="AF15" s="71">
        <v>35.975999999999999</v>
      </c>
      <c r="AG15" s="71">
        <v>29.648</v>
      </c>
      <c r="AH15" s="71">
        <v>24.256</v>
      </c>
      <c r="AI15" s="71">
        <v>18.82</v>
      </c>
      <c r="AJ15" s="71">
        <v>13.295999999999999</v>
      </c>
      <c r="AK15" s="71">
        <v>8.4</v>
      </c>
      <c r="AL15" s="71">
        <v>4.4160000000000004</v>
      </c>
      <c r="AM15" s="71">
        <v>0.54800000000000004</v>
      </c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>
        <v>0.59599999999999997</v>
      </c>
      <c r="BC15" s="71">
        <v>4.444</v>
      </c>
      <c r="BD15" s="71">
        <v>8.5839999999999996</v>
      </c>
      <c r="BE15" s="71">
        <v>13.263999999999999</v>
      </c>
      <c r="BF15" s="71">
        <v>18.431999999999999</v>
      </c>
      <c r="BG15" s="71">
        <v>23.608000000000001</v>
      </c>
      <c r="BH15" s="71">
        <v>29.04</v>
      </c>
      <c r="BI15" s="71">
        <v>35.131999999999998</v>
      </c>
      <c r="BJ15" s="71">
        <v>41.444000000000003</v>
      </c>
      <c r="BK15" s="71">
        <v>46.643999999999998</v>
      </c>
      <c r="BL15" s="71">
        <v>50.375999999999998</v>
      </c>
      <c r="BM15" s="71">
        <v>52.868000000000002</v>
      </c>
      <c r="BN15" s="71">
        <v>55</v>
      </c>
      <c r="BO15" s="71">
        <v>55</v>
      </c>
      <c r="BP15" s="71">
        <v>55</v>
      </c>
      <c r="BQ15" s="71">
        <v>55</v>
      </c>
      <c r="BR15" s="71">
        <v>55</v>
      </c>
      <c r="BS15" s="71">
        <v>55</v>
      </c>
      <c r="BT15" s="71">
        <v>55</v>
      </c>
      <c r="BU15" s="71">
        <v>55</v>
      </c>
      <c r="BV15" s="71">
        <v>55</v>
      </c>
      <c r="BW15" s="71">
        <v>55</v>
      </c>
      <c r="BX15" s="71">
        <v>55</v>
      </c>
      <c r="BY15" s="71">
        <v>55</v>
      </c>
      <c r="BZ15" s="71">
        <v>55</v>
      </c>
      <c r="CA15" s="71">
        <v>55</v>
      </c>
      <c r="CB15" s="71">
        <v>55</v>
      </c>
      <c r="CC15" s="71">
        <v>55</v>
      </c>
      <c r="CD15" s="71">
        <v>55</v>
      </c>
      <c r="CE15" s="71">
        <v>55</v>
      </c>
      <c r="CF15" s="71">
        <v>55</v>
      </c>
      <c r="CG15" s="71">
        <v>55</v>
      </c>
      <c r="CH15" s="71">
        <v>55</v>
      </c>
      <c r="CI15" s="71">
        <v>55</v>
      </c>
      <c r="CJ15" s="71">
        <v>55</v>
      </c>
      <c r="CK15" s="71">
        <v>55</v>
      </c>
      <c r="CL15" s="71">
        <v>55</v>
      </c>
      <c r="CM15" s="71">
        <v>55</v>
      </c>
      <c r="CN15" s="71">
        <v>55</v>
      </c>
      <c r="CO15" s="71">
        <v>55</v>
      </c>
      <c r="CP15" s="71">
        <v>55</v>
      </c>
      <c r="CQ15" s="71">
        <v>55</v>
      </c>
      <c r="CR15" s="71">
        <v>55</v>
      </c>
      <c r="CS15" s="71">
        <v>55</v>
      </c>
      <c r="CT15" s="72"/>
      <c r="CU15" s="72"/>
      <c r="CV15" s="72"/>
      <c r="CW15" s="73"/>
      <c r="CX15" s="74">
        <f t="array" ref="CX15">SUMPRODUCT(B15:CW15*0.25)</f>
        <v>962.40599999999995</v>
      </c>
    </row>
    <row r="16" spans="1:102" ht="24.95" customHeight="1" x14ac:dyDescent="0.2">
      <c r="A16" s="69" t="s">
        <v>13</v>
      </c>
      <c r="B16" s="70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2"/>
      <c r="CU16" s="72"/>
      <c r="CV16" s="72"/>
      <c r="CW16" s="73"/>
      <c r="CX16" s="74">
        <f t="array" ref="CX16">SUMPRODUCT(B16:CW16*0.25)</f>
        <v>0</v>
      </c>
    </row>
    <row r="17" spans="1:102" ht="30" customHeight="1" thickBot="1" x14ac:dyDescent="0.25">
      <c r="A17" s="75" t="s">
        <v>14</v>
      </c>
      <c r="B17" s="76">
        <f>SUM(B11:B16)</f>
        <v>55</v>
      </c>
      <c r="C17" s="77">
        <f t="shared" ref="C17:BN17" si="0">SUM(C11:C16)</f>
        <v>55</v>
      </c>
      <c r="D17" s="77">
        <f t="shared" si="0"/>
        <v>55</v>
      </c>
      <c r="E17" s="77">
        <f t="shared" si="0"/>
        <v>55</v>
      </c>
      <c r="F17" s="77">
        <f t="shared" si="0"/>
        <v>55</v>
      </c>
      <c r="G17" s="77">
        <f t="shared" si="0"/>
        <v>55</v>
      </c>
      <c r="H17" s="77">
        <f t="shared" si="0"/>
        <v>55</v>
      </c>
      <c r="I17" s="77">
        <f t="shared" si="0"/>
        <v>55</v>
      </c>
      <c r="J17" s="77">
        <f t="shared" si="0"/>
        <v>55</v>
      </c>
      <c r="K17" s="77">
        <f t="shared" si="0"/>
        <v>55</v>
      </c>
      <c r="L17" s="77">
        <f t="shared" si="0"/>
        <v>55</v>
      </c>
      <c r="M17" s="77">
        <f t="shared" si="0"/>
        <v>55</v>
      </c>
      <c r="N17" s="77">
        <f t="shared" si="0"/>
        <v>55</v>
      </c>
      <c r="O17" s="77">
        <f t="shared" si="0"/>
        <v>55</v>
      </c>
      <c r="P17" s="77">
        <f t="shared" si="0"/>
        <v>55</v>
      </c>
      <c r="Q17" s="77">
        <f t="shared" si="0"/>
        <v>55</v>
      </c>
      <c r="R17" s="77">
        <f t="shared" si="0"/>
        <v>55</v>
      </c>
      <c r="S17" s="77">
        <f t="shared" si="0"/>
        <v>55</v>
      </c>
      <c r="T17" s="77">
        <f t="shared" si="0"/>
        <v>55</v>
      </c>
      <c r="U17" s="77">
        <f t="shared" si="0"/>
        <v>55</v>
      </c>
      <c r="V17" s="77">
        <f t="shared" si="0"/>
        <v>55</v>
      </c>
      <c r="W17" s="77">
        <f t="shared" si="0"/>
        <v>55</v>
      </c>
      <c r="X17" s="77">
        <f t="shared" si="0"/>
        <v>55</v>
      </c>
      <c r="Y17" s="77">
        <f t="shared" si="0"/>
        <v>55</v>
      </c>
      <c r="Z17" s="77">
        <f t="shared" si="0"/>
        <v>55</v>
      </c>
      <c r="AA17" s="77">
        <f t="shared" si="0"/>
        <v>55</v>
      </c>
      <c r="AB17" s="77">
        <f t="shared" si="0"/>
        <v>55</v>
      </c>
      <c r="AC17" s="77">
        <f t="shared" si="0"/>
        <v>52.911999999999999</v>
      </c>
      <c r="AD17" s="77">
        <f t="shared" si="0"/>
        <v>49.008000000000003</v>
      </c>
      <c r="AE17" s="77">
        <f t="shared" si="0"/>
        <v>42.911999999999999</v>
      </c>
      <c r="AF17" s="77">
        <f t="shared" si="0"/>
        <v>35.975999999999999</v>
      </c>
      <c r="AG17" s="77">
        <f t="shared" si="0"/>
        <v>29.648</v>
      </c>
      <c r="AH17" s="77">
        <f t="shared" si="0"/>
        <v>24.256</v>
      </c>
      <c r="AI17" s="77">
        <f t="shared" si="0"/>
        <v>18.82</v>
      </c>
      <c r="AJ17" s="77">
        <f t="shared" si="0"/>
        <v>13.295999999999999</v>
      </c>
      <c r="AK17" s="77">
        <f t="shared" si="0"/>
        <v>8.4</v>
      </c>
      <c r="AL17" s="77">
        <f t="shared" si="0"/>
        <v>4.4160000000000004</v>
      </c>
      <c r="AM17" s="77">
        <f t="shared" si="0"/>
        <v>0.54800000000000004</v>
      </c>
      <c r="AN17" s="77">
        <f t="shared" si="0"/>
        <v>0</v>
      </c>
      <c r="AO17" s="77">
        <f t="shared" si="0"/>
        <v>0</v>
      </c>
      <c r="AP17" s="77">
        <f t="shared" si="0"/>
        <v>0</v>
      </c>
      <c r="AQ17" s="77">
        <f t="shared" si="0"/>
        <v>0</v>
      </c>
      <c r="AR17" s="77">
        <f t="shared" si="0"/>
        <v>0</v>
      </c>
      <c r="AS17" s="77">
        <f t="shared" si="0"/>
        <v>0</v>
      </c>
      <c r="AT17" s="77">
        <f t="shared" si="0"/>
        <v>0</v>
      </c>
      <c r="AU17" s="77">
        <f t="shared" si="0"/>
        <v>0</v>
      </c>
      <c r="AV17" s="77">
        <f t="shared" si="0"/>
        <v>0</v>
      </c>
      <c r="AW17" s="77">
        <f t="shared" si="0"/>
        <v>0</v>
      </c>
      <c r="AX17" s="77">
        <f t="shared" si="0"/>
        <v>0</v>
      </c>
      <c r="AY17" s="77">
        <f t="shared" si="0"/>
        <v>0</v>
      </c>
      <c r="AZ17" s="77">
        <f t="shared" si="0"/>
        <v>0</v>
      </c>
      <c r="BA17" s="77">
        <f t="shared" si="0"/>
        <v>0</v>
      </c>
      <c r="BB17" s="77">
        <f t="shared" si="0"/>
        <v>0.59599999999999997</v>
      </c>
      <c r="BC17" s="77">
        <f t="shared" si="0"/>
        <v>4.444</v>
      </c>
      <c r="BD17" s="77">
        <f t="shared" si="0"/>
        <v>8.5839999999999996</v>
      </c>
      <c r="BE17" s="77">
        <f t="shared" si="0"/>
        <v>13.263999999999999</v>
      </c>
      <c r="BF17" s="77">
        <f t="shared" si="0"/>
        <v>18.431999999999999</v>
      </c>
      <c r="BG17" s="77">
        <f t="shared" si="0"/>
        <v>23.608000000000001</v>
      </c>
      <c r="BH17" s="77">
        <f t="shared" si="0"/>
        <v>29.04</v>
      </c>
      <c r="BI17" s="77">
        <f t="shared" si="0"/>
        <v>35.131999999999998</v>
      </c>
      <c r="BJ17" s="77">
        <f t="shared" si="0"/>
        <v>41.444000000000003</v>
      </c>
      <c r="BK17" s="77">
        <f t="shared" si="0"/>
        <v>46.643999999999998</v>
      </c>
      <c r="BL17" s="77">
        <f t="shared" si="0"/>
        <v>50.375999999999998</v>
      </c>
      <c r="BM17" s="77">
        <f t="shared" si="0"/>
        <v>52.868000000000002</v>
      </c>
      <c r="BN17" s="77">
        <f t="shared" si="0"/>
        <v>55</v>
      </c>
      <c r="BO17" s="77">
        <f t="shared" ref="BO17:CW17" si="1">SUM(BO11:BO16)</f>
        <v>55</v>
      </c>
      <c r="BP17" s="77">
        <f t="shared" si="1"/>
        <v>55</v>
      </c>
      <c r="BQ17" s="77">
        <f t="shared" si="1"/>
        <v>55</v>
      </c>
      <c r="BR17" s="77">
        <f t="shared" si="1"/>
        <v>55</v>
      </c>
      <c r="BS17" s="77">
        <f t="shared" si="1"/>
        <v>55</v>
      </c>
      <c r="BT17" s="77">
        <f t="shared" si="1"/>
        <v>55</v>
      </c>
      <c r="BU17" s="77">
        <f t="shared" si="1"/>
        <v>55</v>
      </c>
      <c r="BV17" s="77">
        <f t="shared" si="1"/>
        <v>55</v>
      </c>
      <c r="BW17" s="77">
        <f t="shared" si="1"/>
        <v>55</v>
      </c>
      <c r="BX17" s="77">
        <f t="shared" si="1"/>
        <v>55</v>
      </c>
      <c r="BY17" s="77">
        <f t="shared" si="1"/>
        <v>55</v>
      </c>
      <c r="BZ17" s="77">
        <f t="shared" si="1"/>
        <v>55</v>
      </c>
      <c r="CA17" s="77">
        <f t="shared" si="1"/>
        <v>55</v>
      </c>
      <c r="CB17" s="77">
        <f t="shared" si="1"/>
        <v>55</v>
      </c>
      <c r="CC17" s="77">
        <f t="shared" si="1"/>
        <v>55</v>
      </c>
      <c r="CD17" s="77">
        <f t="shared" si="1"/>
        <v>55</v>
      </c>
      <c r="CE17" s="77">
        <f t="shared" si="1"/>
        <v>55</v>
      </c>
      <c r="CF17" s="77">
        <f t="shared" si="1"/>
        <v>55</v>
      </c>
      <c r="CG17" s="77">
        <f t="shared" si="1"/>
        <v>55</v>
      </c>
      <c r="CH17" s="77">
        <f t="shared" si="1"/>
        <v>55</v>
      </c>
      <c r="CI17" s="77">
        <f t="shared" si="1"/>
        <v>55</v>
      </c>
      <c r="CJ17" s="77">
        <f t="shared" si="1"/>
        <v>55</v>
      </c>
      <c r="CK17" s="77">
        <f t="shared" si="1"/>
        <v>55</v>
      </c>
      <c r="CL17" s="77">
        <f t="shared" si="1"/>
        <v>55</v>
      </c>
      <c r="CM17" s="77">
        <f t="shared" si="1"/>
        <v>55</v>
      </c>
      <c r="CN17" s="77">
        <f t="shared" si="1"/>
        <v>55</v>
      </c>
      <c r="CO17" s="77">
        <f t="shared" si="1"/>
        <v>55</v>
      </c>
      <c r="CP17" s="77">
        <f t="shared" si="1"/>
        <v>55</v>
      </c>
      <c r="CQ17" s="77">
        <f t="shared" si="1"/>
        <v>55</v>
      </c>
      <c r="CR17" s="77">
        <f t="shared" si="1"/>
        <v>55</v>
      </c>
      <c r="CS17" s="77">
        <f t="shared" si="1"/>
        <v>55</v>
      </c>
      <c r="CT17" s="78">
        <f t="shared" si="1"/>
        <v>0</v>
      </c>
      <c r="CU17" s="78">
        <f t="shared" si="1"/>
        <v>0</v>
      </c>
      <c r="CV17" s="78">
        <f t="shared" si="1"/>
        <v>0</v>
      </c>
      <c r="CW17" s="79">
        <f t="shared" si="1"/>
        <v>0</v>
      </c>
      <c r="CX17" s="80">
        <f>SUM(CX11:CX16)</f>
        <v>962.40599999999995</v>
      </c>
    </row>
    <row r="18" spans="1:102" ht="18" customHeight="1" thickBot="1" x14ac:dyDescent="0.25">
      <c r="A18" s="81"/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4"/>
    </row>
    <row r="19" spans="1:102" ht="30" customHeight="1" thickBot="1" x14ac:dyDescent="0.25">
      <c r="A19" s="85" t="s">
        <v>15</v>
      </c>
      <c r="B19" s="48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50"/>
      <c r="CX19" s="18" t="s">
        <v>1</v>
      </c>
    </row>
    <row r="20" spans="1:102" ht="24.95" customHeight="1" x14ac:dyDescent="0.2">
      <c r="A20" s="86" t="s">
        <v>16</v>
      </c>
      <c r="B20" s="87">
        <v>614.78800000000001</v>
      </c>
      <c r="C20" s="88">
        <v>614.86199999999997</v>
      </c>
      <c r="D20" s="88">
        <v>615.07799999999997</v>
      </c>
      <c r="E20" s="88">
        <v>614.78700000000003</v>
      </c>
      <c r="F20" s="88">
        <v>613.98500000000001</v>
      </c>
      <c r="G20" s="88">
        <v>614.04300000000012</v>
      </c>
      <c r="H20" s="88">
        <v>614.12699999999995</v>
      </c>
      <c r="I20" s="88">
        <v>613.81099999999992</v>
      </c>
      <c r="J20" s="88">
        <v>609.03</v>
      </c>
      <c r="K20" s="88">
        <v>609.26</v>
      </c>
      <c r="L20" s="88">
        <v>609.68399999999997</v>
      </c>
      <c r="M20" s="88">
        <v>609.65200000000004</v>
      </c>
      <c r="N20" s="88">
        <v>609.67700000000002</v>
      </c>
      <c r="O20" s="88">
        <v>609.53</v>
      </c>
      <c r="P20" s="88">
        <v>609.4860000000001</v>
      </c>
      <c r="Q20" s="88">
        <v>609.73399999999992</v>
      </c>
      <c r="R20" s="88">
        <v>610.88200000000006</v>
      </c>
      <c r="S20" s="88">
        <v>610.86400000000003</v>
      </c>
      <c r="T20" s="88">
        <v>610.60300000000007</v>
      </c>
      <c r="U20" s="88">
        <v>611.07800000000009</v>
      </c>
      <c r="V20" s="88">
        <v>611.94600000000003</v>
      </c>
      <c r="W20" s="88">
        <v>611.76599999999996</v>
      </c>
      <c r="X20" s="88">
        <v>611.75099999999998</v>
      </c>
      <c r="Y20" s="88">
        <v>611.93299999999999</v>
      </c>
      <c r="Z20" s="88">
        <v>615.27299999999991</v>
      </c>
      <c r="AA20" s="88">
        <v>615.12</v>
      </c>
      <c r="AB20" s="88">
        <v>615.32400000000007</v>
      </c>
      <c r="AC20" s="88">
        <v>614.63799999999992</v>
      </c>
      <c r="AD20" s="88">
        <v>613.44299999999998</v>
      </c>
      <c r="AE20" s="88">
        <v>612.91000000000008</v>
      </c>
      <c r="AF20" s="88">
        <v>612.73500000000001</v>
      </c>
      <c r="AG20" s="88">
        <v>612.7170000000001</v>
      </c>
      <c r="AH20" s="88">
        <v>594.78399999999999</v>
      </c>
      <c r="AI20" s="88">
        <v>594.66599999999994</v>
      </c>
      <c r="AJ20" s="88">
        <v>594.12699999999995</v>
      </c>
      <c r="AK20" s="88">
        <v>594.202</v>
      </c>
      <c r="AL20" s="88">
        <v>563.09299999999996</v>
      </c>
      <c r="AM20" s="88">
        <v>563.11200000000008</v>
      </c>
      <c r="AN20" s="88">
        <v>562.47500000000002</v>
      </c>
      <c r="AO20" s="88">
        <v>562.678</v>
      </c>
      <c r="AP20" s="88">
        <v>567.74199999999996</v>
      </c>
      <c r="AQ20" s="88">
        <v>567.94400000000007</v>
      </c>
      <c r="AR20" s="88">
        <v>567.32100000000003</v>
      </c>
      <c r="AS20" s="88">
        <v>567.22399999999993</v>
      </c>
      <c r="AT20" s="88">
        <v>566.11099999999988</v>
      </c>
      <c r="AU20" s="88">
        <v>566.447</v>
      </c>
      <c r="AV20" s="88">
        <v>566.10799999999995</v>
      </c>
      <c r="AW20" s="88">
        <v>565.88499999999999</v>
      </c>
      <c r="AX20" s="88">
        <v>562.952</v>
      </c>
      <c r="AY20" s="88">
        <v>562.8599999999999</v>
      </c>
      <c r="AZ20" s="88">
        <v>562.89300000000003</v>
      </c>
      <c r="BA20" s="88">
        <v>563.08000000000004</v>
      </c>
      <c r="BB20" s="88">
        <v>558.31099999999992</v>
      </c>
      <c r="BC20" s="88">
        <v>558.72199999999998</v>
      </c>
      <c r="BD20" s="88">
        <v>559.14499999999998</v>
      </c>
      <c r="BE20" s="88">
        <v>559.01699999999994</v>
      </c>
      <c r="BF20" s="88">
        <v>555.59300000000007</v>
      </c>
      <c r="BG20" s="88">
        <v>556.01499999999999</v>
      </c>
      <c r="BH20" s="88">
        <v>556.36799999999994</v>
      </c>
      <c r="BI20" s="88">
        <v>556.09399999999994</v>
      </c>
      <c r="BJ20" s="88">
        <v>554.24199999999996</v>
      </c>
      <c r="BK20" s="88">
        <v>554.43299999999999</v>
      </c>
      <c r="BL20" s="88">
        <v>554.42700000000002</v>
      </c>
      <c r="BM20" s="88">
        <v>554.89599999999996</v>
      </c>
      <c r="BN20" s="88">
        <v>561.14200000000005</v>
      </c>
      <c r="BO20" s="88">
        <v>561.31899999999996</v>
      </c>
      <c r="BP20" s="88">
        <v>562.35</v>
      </c>
      <c r="BQ20" s="88">
        <v>562.10100000000011</v>
      </c>
      <c r="BR20" s="88">
        <v>567.82900000000006</v>
      </c>
      <c r="BS20" s="88">
        <v>567.69600000000003</v>
      </c>
      <c r="BT20" s="88">
        <v>568.02800000000002</v>
      </c>
      <c r="BU20" s="88">
        <v>568.29099999999994</v>
      </c>
      <c r="BV20" s="88">
        <v>600.29</v>
      </c>
      <c r="BW20" s="88">
        <v>600.50900000000001</v>
      </c>
      <c r="BX20" s="88">
        <v>600.39300000000003</v>
      </c>
      <c r="BY20" s="88">
        <v>600.65300000000002</v>
      </c>
      <c r="BZ20" s="88">
        <v>606.13200000000006</v>
      </c>
      <c r="CA20" s="88">
        <v>606.34100000000001</v>
      </c>
      <c r="CB20" s="88">
        <v>606.49900000000002</v>
      </c>
      <c r="CC20" s="88">
        <v>606.20299999999997</v>
      </c>
      <c r="CD20" s="88">
        <v>610.70000000000005</v>
      </c>
      <c r="CE20" s="88">
        <v>611.56500000000005</v>
      </c>
      <c r="CF20" s="88">
        <v>611.01700000000005</v>
      </c>
      <c r="CG20" s="88">
        <v>610.64899999999989</v>
      </c>
      <c r="CH20" s="88">
        <v>612.80400000000009</v>
      </c>
      <c r="CI20" s="88">
        <v>612.65900000000011</v>
      </c>
      <c r="CJ20" s="88">
        <v>613.62</v>
      </c>
      <c r="CK20" s="88">
        <v>612.97699999999998</v>
      </c>
      <c r="CL20" s="88">
        <v>613.81999999999994</v>
      </c>
      <c r="CM20" s="88">
        <v>613.52800000000002</v>
      </c>
      <c r="CN20" s="88">
        <v>613.76199999999994</v>
      </c>
      <c r="CO20" s="88">
        <v>614.7589999999999</v>
      </c>
      <c r="CP20" s="88">
        <v>614.37200000000007</v>
      </c>
      <c r="CQ20" s="88">
        <v>614.81600000000003</v>
      </c>
      <c r="CR20" s="88">
        <v>615.26099999999997</v>
      </c>
      <c r="CS20" s="88">
        <v>615.50599999999997</v>
      </c>
      <c r="CT20" s="89"/>
      <c r="CU20" s="89"/>
      <c r="CV20" s="89"/>
      <c r="CW20" s="90"/>
      <c r="CX20" s="91">
        <f t="array" ref="CX20">SUMPRODUCT(B20:CW20*0.25)</f>
        <v>14211.268749999999</v>
      </c>
    </row>
    <row r="21" spans="1:102" ht="24.95" customHeight="1" x14ac:dyDescent="0.2">
      <c r="A21" s="92" t="s">
        <v>17</v>
      </c>
      <c r="B21" s="93">
        <v>738.43000000000006</v>
      </c>
      <c r="C21" s="94">
        <v>736.52900000000011</v>
      </c>
      <c r="D21" s="94">
        <v>733.53800000000001</v>
      </c>
      <c r="E21" s="94">
        <v>734.27600000000007</v>
      </c>
      <c r="F21" s="94">
        <v>728.57100000000003</v>
      </c>
      <c r="G21" s="94">
        <v>727.87300000000016</v>
      </c>
      <c r="H21" s="94">
        <v>726.93299999999999</v>
      </c>
      <c r="I21" s="94">
        <v>728.47799999999995</v>
      </c>
      <c r="J21" s="94">
        <v>719.875</v>
      </c>
      <c r="K21" s="94">
        <v>718.25700000000006</v>
      </c>
      <c r="L21" s="94">
        <v>718.36599999999999</v>
      </c>
      <c r="M21" s="94">
        <v>722.44899999999996</v>
      </c>
      <c r="N21" s="94">
        <v>722.66600000000005</v>
      </c>
      <c r="O21" s="94">
        <v>726.93799999999999</v>
      </c>
      <c r="P21" s="94">
        <v>727.02800000000013</v>
      </c>
      <c r="Q21" s="94">
        <v>726.10599999999988</v>
      </c>
      <c r="R21" s="94">
        <v>729.39800000000014</v>
      </c>
      <c r="S21" s="94">
        <v>728.64100000000008</v>
      </c>
      <c r="T21" s="94">
        <v>730.4559999999999</v>
      </c>
      <c r="U21" s="94">
        <v>728.221</v>
      </c>
      <c r="V21" s="94">
        <v>751.9849999999999</v>
      </c>
      <c r="W21" s="94">
        <v>753.56899999999985</v>
      </c>
      <c r="X21" s="94">
        <v>753.72399999999982</v>
      </c>
      <c r="Y21" s="94">
        <v>749.45799999999986</v>
      </c>
      <c r="Z21" s="94">
        <v>784.36899999999991</v>
      </c>
      <c r="AA21" s="94">
        <v>780.68000000000006</v>
      </c>
      <c r="AB21" s="94">
        <v>777.54199999999992</v>
      </c>
      <c r="AC21" s="94">
        <v>770.43499999999995</v>
      </c>
      <c r="AD21" s="94">
        <v>769.35400000000004</v>
      </c>
      <c r="AE21" s="94">
        <v>766.91000000000008</v>
      </c>
      <c r="AF21" s="94">
        <v>761.72600000000011</v>
      </c>
      <c r="AG21" s="94">
        <v>785.35</v>
      </c>
      <c r="AH21" s="94">
        <v>781.85699999999997</v>
      </c>
      <c r="AI21" s="94">
        <v>774.15</v>
      </c>
      <c r="AJ21" s="94">
        <v>764.75700000000006</v>
      </c>
      <c r="AK21" s="94">
        <v>756.46499999999992</v>
      </c>
      <c r="AL21" s="94">
        <v>717.94900000000018</v>
      </c>
      <c r="AM21" s="94">
        <v>709.70299999999997</v>
      </c>
      <c r="AN21" s="94">
        <v>731.87799999999993</v>
      </c>
      <c r="AO21" s="94">
        <v>728.71100000000001</v>
      </c>
      <c r="AP21" s="94">
        <v>728.6819999999999</v>
      </c>
      <c r="AQ21" s="94">
        <v>723.98099999999988</v>
      </c>
      <c r="AR21" s="94">
        <v>722.89099999999996</v>
      </c>
      <c r="AS21" s="94">
        <v>718.87099999999975</v>
      </c>
      <c r="AT21" s="94">
        <v>686.45099999999991</v>
      </c>
      <c r="AU21" s="94">
        <v>716.21100000000001</v>
      </c>
      <c r="AV21" s="94">
        <v>719.02099999999996</v>
      </c>
      <c r="AW21" s="94">
        <v>721.59299999999985</v>
      </c>
      <c r="AX21" s="94">
        <v>724.78200000000004</v>
      </c>
      <c r="AY21" s="94">
        <v>727.23300000000017</v>
      </c>
      <c r="AZ21" s="94">
        <v>729.77099999999984</v>
      </c>
      <c r="BA21" s="94">
        <v>734.54899999999998</v>
      </c>
      <c r="BB21" s="94">
        <v>735.80100000000004</v>
      </c>
      <c r="BC21" s="94">
        <v>739.702</v>
      </c>
      <c r="BD21" s="94">
        <v>747.90800000000002</v>
      </c>
      <c r="BE21" s="94">
        <v>754.85199999999998</v>
      </c>
      <c r="BF21" s="94">
        <v>758.95100000000002</v>
      </c>
      <c r="BG21" s="94">
        <v>768.97199999999998</v>
      </c>
      <c r="BH21" s="94">
        <v>777.28599999999994</v>
      </c>
      <c r="BI21" s="94">
        <v>756.35700000000008</v>
      </c>
      <c r="BJ21" s="94">
        <v>768.93599999999992</v>
      </c>
      <c r="BK21" s="94">
        <v>776.09799999999996</v>
      </c>
      <c r="BL21" s="94">
        <v>783.47600000000011</v>
      </c>
      <c r="BM21" s="94">
        <v>786.98200000000008</v>
      </c>
      <c r="BN21" s="94">
        <v>814.90699999999993</v>
      </c>
      <c r="BO21" s="94">
        <v>820.80899999999997</v>
      </c>
      <c r="BP21" s="94">
        <v>825.10700000000008</v>
      </c>
      <c r="BQ21" s="94">
        <v>826.40800000000002</v>
      </c>
      <c r="BR21" s="94">
        <v>830.56099999999992</v>
      </c>
      <c r="BS21" s="94">
        <v>829.2170000000001</v>
      </c>
      <c r="BT21" s="94">
        <v>830.80700000000002</v>
      </c>
      <c r="BU21" s="94">
        <v>829.54000000000008</v>
      </c>
      <c r="BV21" s="94">
        <v>833.78</v>
      </c>
      <c r="BW21" s="94">
        <v>834.05800000000011</v>
      </c>
      <c r="BX21" s="94">
        <v>831.83399999999995</v>
      </c>
      <c r="BY21" s="94">
        <v>829.74699999999996</v>
      </c>
      <c r="BZ21" s="94">
        <v>827.69100000000003</v>
      </c>
      <c r="CA21" s="94">
        <v>826.05900000000008</v>
      </c>
      <c r="CB21" s="94">
        <v>824.07899999999995</v>
      </c>
      <c r="CC21" s="94">
        <v>824.00499999999988</v>
      </c>
      <c r="CD21" s="94">
        <v>816.31899999999996</v>
      </c>
      <c r="CE21" s="94">
        <v>815.53099999999995</v>
      </c>
      <c r="CF21" s="94">
        <v>814.79599999999994</v>
      </c>
      <c r="CG21" s="94">
        <v>814.83600000000013</v>
      </c>
      <c r="CH21" s="94">
        <v>804.93999999999983</v>
      </c>
      <c r="CI21" s="94">
        <v>807.54300000000001</v>
      </c>
      <c r="CJ21" s="94">
        <v>806.9899999999999</v>
      </c>
      <c r="CK21" s="94">
        <v>804.52299999999991</v>
      </c>
      <c r="CL21" s="94">
        <v>796.15700000000015</v>
      </c>
      <c r="CM21" s="94">
        <v>793.38399999999979</v>
      </c>
      <c r="CN21" s="94">
        <v>796.44499999999994</v>
      </c>
      <c r="CO21" s="94">
        <v>793.40500000000009</v>
      </c>
      <c r="CP21" s="94">
        <v>787.63099999999997</v>
      </c>
      <c r="CQ21" s="94">
        <v>787.04300000000001</v>
      </c>
      <c r="CR21" s="94">
        <v>786.76500000000021</v>
      </c>
      <c r="CS21" s="94">
        <v>786.00400000000002</v>
      </c>
      <c r="CT21" s="95"/>
      <c r="CU21" s="95"/>
      <c r="CV21" s="95"/>
      <c r="CW21" s="96"/>
      <c r="CX21" s="97">
        <f t="array" ref="CX21">SUMPRODUCT(B21:CW21*0.25)</f>
        <v>18395.969750000015</v>
      </c>
    </row>
    <row r="22" spans="1:102" ht="24.95" customHeight="1" x14ac:dyDescent="0.2">
      <c r="A22" s="92" t="s">
        <v>18</v>
      </c>
      <c r="B22" s="98">
        <v>3454.605</v>
      </c>
      <c r="C22" s="99">
        <v>3384.0520000000001</v>
      </c>
      <c r="D22" s="99">
        <v>3316.7860000000001</v>
      </c>
      <c r="E22" s="99">
        <v>3273.768</v>
      </c>
      <c r="F22" s="99">
        <v>3229.9909999999995</v>
      </c>
      <c r="G22" s="99">
        <v>3201.848</v>
      </c>
      <c r="H22" s="99">
        <v>3177.0339999999997</v>
      </c>
      <c r="I22" s="99">
        <v>3181.5939999999996</v>
      </c>
      <c r="J22" s="99">
        <v>3132.6690000000003</v>
      </c>
      <c r="K22" s="99">
        <v>3116.2280000000001</v>
      </c>
      <c r="L22" s="99">
        <v>3091.7329999999997</v>
      </c>
      <c r="M22" s="99">
        <v>3091.5389999999998</v>
      </c>
      <c r="N22" s="99">
        <v>3009.8029999999994</v>
      </c>
      <c r="O22" s="99">
        <v>3015.46</v>
      </c>
      <c r="P22" s="99">
        <v>2994.8229999999999</v>
      </c>
      <c r="Q22" s="99">
        <v>2980.1029999999996</v>
      </c>
      <c r="R22" s="99">
        <v>2952.8579999999997</v>
      </c>
      <c r="S22" s="99">
        <v>2948.4179999999997</v>
      </c>
      <c r="T22" s="99">
        <v>2958.8149999999996</v>
      </c>
      <c r="U22" s="99">
        <v>2982.3869999999997</v>
      </c>
      <c r="V22" s="99">
        <v>3011.8199999999993</v>
      </c>
      <c r="W22" s="99">
        <v>3041.0969999999993</v>
      </c>
      <c r="X22" s="99">
        <v>3086.384</v>
      </c>
      <c r="Y22" s="99">
        <v>3144.4229999999993</v>
      </c>
      <c r="Z22" s="99">
        <v>3229.5359999999991</v>
      </c>
      <c r="AA22" s="99">
        <v>3289.415</v>
      </c>
      <c r="AB22" s="99">
        <v>3364.5579999999995</v>
      </c>
      <c r="AC22" s="99">
        <v>3444.5309999999995</v>
      </c>
      <c r="AD22" s="99">
        <v>3595.7029999999995</v>
      </c>
      <c r="AE22" s="99">
        <v>3729.846</v>
      </c>
      <c r="AF22" s="99">
        <v>3875.2939999999999</v>
      </c>
      <c r="AG22" s="99">
        <v>4066.82</v>
      </c>
      <c r="AH22" s="99">
        <v>4281.2240000000011</v>
      </c>
      <c r="AI22" s="99">
        <v>4422.25</v>
      </c>
      <c r="AJ22" s="99">
        <v>4555.4980000000014</v>
      </c>
      <c r="AK22" s="99">
        <v>4676.8290000000006</v>
      </c>
      <c r="AL22" s="99">
        <v>4797.2430000000004</v>
      </c>
      <c r="AM22" s="99">
        <v>4892.9249999999993</v>
      </c>
      <c r="AN22" s="99">
        <v>5014.786000000001</v>
      </c>
      <c r="AO22" s="99">
        <v>5098.1719999999996</v>
      </c>
      <c r="AP22" s="99">
        <v>5178.0439999999999</v>
      </c>
      <c r="AQ22" s="99">
        <v>5256.7640000000001</v>
      </c>
      <c r="AR22" s="99">
        <v>5309.7690000000002</v>
      </c>
      <c r="AS22" s="99">
        <v>5343.2920000000004</v>
      </c>
      <c r="AT22" s="99">
        <v>5352.299</v>
      </c>
      <c r="AU22" s="99">
        <v>5390.0209999999997</v>
      </c>
      <c r="AV22" s="99">
        <v>5376.7899999999991</v>
      </c>
      <c r="AW22" s="99">
        <v>5344.6869999999999</v>
      </c>
      <c r="AX22" s="99">
        <v>5283.8360000000011</v>
      </c>
      <c r="AY22" s="99">
        <v>5212.8910000000005</v>
      </c>
      <c r="AZ22" s="99">
        <v>5138.3609999999999</v>
      </c>
      <c r="BA22" s="99">
        <v>5042.4000000000005</v>
      </c>
      <c r="BB22" s="99">
        <v>4931.7539999999999</v>
      </c>
      <c r="BC22" s="99">
        <v>4835.9390000000003</v>
      </c>
      <c r="BD22" s="99">
        <v>4753.549</v>
      </c>
      <c r="BE22" s="99">
        <v>4675.29</v>
      </c>
      <c r="BF22" s="99">
        <v>4578.0140000000001</v>
      </c>
      <c r="BG22" s="99">
        <v>4511.6770000000006</v>
      </c>
      <c r="BH22" s="99">
        <v>4458.8320000000003</v>
      </c>
      <c r="BI22" s="99">
        <v>4391.8550000000005</v>
      </c>
      <c r="BJ22" s="99">
        <v>4393.1000000000004</v>
      </c>
      <c r="BK22" s="99">
        <v>4401.8270000000002</v>
      </c>
      <c r="BL22" s="99">
        <v>4442.5419999999995</v>
      </c>
      <c r="BM22" s="99">
        <v>4416.2049999999999</v>
      </c>
      <c r="BN22" s="99">
        <v>4604.6800000000012</v>
      </c>
      <c r="BO22" s="99">
        <v>4721.1149999999998</v>
      </c>
      <c r="BP22" s="99">
        <v>4862.857</v>
      </c>
      <c r="BQ22" s="99">
        <v>4990.3339999999998</v>
      </c>
      <c r="BR22" s="99">
        <v>5102.4080000000004</v>
      </c>
      <c r="BS22" s="99">
        <v>5195.0860000000002</v>
      </c>
      <c r="BT22" s="99">
        <v>5257.1310000000003</v>
      </c>
      <c r="BU22" s="99">
        <v>5287.9010000000007</v>
      </c>
      <c r="BV22" s="99">
        <v>5235.1319999999996</v>
      </c>
      <c r="BW22" s="99">
        <v>5240.1069999999991</v>
      </c>
      <c r="BX22" s="99">
        <v>5285.0220000000008</v>
      </c>
      <c r="BY22" s="99">
        <v>5285.53</v>
      </c>
      <c r="BZ22" s="99">
        <v>5269.4590000000007</v>
      </c>
      <c r="CA22" s="99">
        <v>5255.2979999999998</v>
      </c>
      <c r="CB22" s="99">
        <v>5185.317</v>
      </c>
      <c r="CC22" s="99">
        <v>5069.1080000000011</v>
      </c>
      <c r="CD22" s="99">
        <v>5064.0569999999998</v>
      </c>
      <c r="CE22" s="99">
        <v>4994.0170000000007</v>
      </c>
      <c r="CF22" s="99">
        <v>4918.2860000000001</v>
      </c>
      <c r="CG22" s="99">
        <v>4880.5649999999996</v>
      </c>
      <c r="CH22" s="99">
        <v>4744.9310000000005</v>
      </c>
      <c r="CI22" s="99">
        <v>4669.8789999999999</v>
      </c>
      <c r="CJ22" s="99">
        <v>4638.7340000000004</v>
      </c>
      <c r="CK22" s="99">
        <v>4571.7449999999999</v>
      </c>
      <c r="CL22" s="99">
        <v>4421.1669999999995</v>
      </c>
      <c r="CM22" s="99">
        <v>4256.9049999999997</v>
      </c>
      <c r="CN22" s="99">
        <v>4223.7209999999995</v>
      </c>
      <c r="CO22" s="99">
        <v>4105.9469999999992</v>
      </c>
      <c r="CP22" s="99">
        <v>3941.4529999999995</v>
      </c>
      <c r="CQ22" s="99">
        <v>3796.4689999999996</v>
      </c>
      <c r="CR22" s="99">
        <v>3665.8299999999995</v>
      </c>
      <c r="CS22" s="99">
        <v>3542.77</v>
      </c>
      <c r="CT22" s="100"/>
      <c r="CU22" s="100"/>
      <c r="CV22" s="100"/>
      <c r="CW22" s="96"/>
      <c r="CX22" s="97">
        <f t="array" ref="CX22">SUMPRODUCT(B22:CW22*0.25)</f>
        <v>102853.89175</v>
      </c>
    </row>
    <row r="23" spans="1:102" ht="24.95" customHeight="1" x14ac:dyDescent="0.2">
      <c r="A23" s="101" t="s">
        <v>19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>
        <v>110</v>
      </c>
      <c r="AQ23" s="99">
        <v>110</v>
      </c>
      <c r="AR23" s="99">
        <v>110</v>
      </c>
      <c r="AS23" s="99">
        <v>110</v>
      </c>
      <c r="AT23" s="99">
        <v>110</v>
      </c>
      <c r="AU23" s="99">
        <v>110</v>
      </c>
      <c r="AV23" s="99">
        <v>110</v>
      </c>
      <c r="AW23" s="99">
        <v>110</v>
      </c>
      <c r="AX23" s="99">
        <v>110</v>
      </c>
      <c r="AY23" s="99">
        <v>110</v>
      </c>
      <c r="AZ23" s="99">
        <v>110</v>
      </c>
      <c r="BA23" s="99">
        <v>110</v>
      </c>
      <c r="BB23" s="99"/>
      <c r="BC23" s="99">
        <v>100.39400000000001</v>
      </c>
      <c r="BD23" s="99">
        <v>110</v>
      </c>
      <c r="BE23" s="99">
        <v>110</v>
      </c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100"/>
      <c r="CU23" s="100"/>
      <c r="CV23" s="100"/>
      <c r="CW23" s="102"/>
      <c r="CX23" s="103">
        <f t="array" ref="CX23">SUMPRODUCT(B23:CW23*0.25)</f>
        <v>410.0985</v>
      </c>
    </row>
    <row r="24" spans="1:102" ht="24.95" customHeight="1" x14ac:dyDescent="0.2">
      <c r="A24" s="104" t="s">
        <v>20</v>
      </c>
      <c r="B24" s="94">
        <v>114</v>
      </c>
      <c r="C24" s="94">
        <v>112</v>
      </c>
      <c r="D24" s="94">
        <v>111</v>
      </c>
      <c r="E24" s="94">
        <v>109</v>
      </c>
      <c r="F24" s="94">
        <v>109</v>
      </c>
      <c r="G24" s="94">
        <v>108</v>
      </c>
      <c r="H24" s="94">
        <v>107</v>
      </c>
      <c r="I24" s="94">
        <v>107</v>
      </c>
      <c r="J24" s="94">
        <v>106</v>
      </c>
      <c r="K24" s="94">
        <v>105</v>
      </c>
      <c r="L24" s="94">
        <v>104</v>
      </c>
      <c r="M24" s="94">
        <v>103</v>
      </c>
      <c r="N24" s="94">
        <v>102</v>
      </c>
      <c r="O24" s="94">
        <v>102</v>
      </c>
      <c r="P24" s="94">
        <v>101</v>
      </c>
      <c r="Q24" s="94">
        <v>101</v>
      </c>
      <c r="R24" s="94">
        <v>102</v>
      </c>
      <c r="S24" s="94">
        <v>102</v>
      </c>
      <c r="T24" s="94">
        <v>103</v>
      </c>
      <c r="U24" s="94">
        <v>104</v>
      </c>
      <c r="V24" s="94">
        <v>105</v>
      </c>
      <c r="W24" s="94">
        <v>106</v>
      </c>
      <c r="X24" s="94">
        <v>107</v>
      </c>
      <c r="Y24" s="94">
        <v>109</v>
      </c>
      <c r="Z24" s="94">
        <v>112</v>
      </c>
      <c r="AA24" s="94">
        <v>114</v>
      </c>
      <c r="AB24" s="94">
        <v>115</v>
      </c>
      <c r="AC24" s="94">
        <v>115</v>
      </c>
      <c r="AD24" s="94">
        <v>115</v>
      </c>
      <c r="AE24" s="94">
        <v>113</v>
      </c>
      <c r="AF24" s="94">
        <v>111</v>
      </c>
      <c r="AG24" s="94">
        <v>107</v>
      </c>
      <c r="AH24" s="94">
        <v>102</v>
      </c>
      <c r="AI24" s="94">
        <v>96</v>
      </c>
      <c r="AJ24" s="94">
        <v>91</v>
      </c>
      <c r="AK24" s="94">
        <v>87</v>
      </c>
      <c r="AL24" s="94">
        <v>82</v>
      </c>
      <c r="AM24" s="94">
        <v>78</v>
      </c>
      <c r="AN24" s="94">
        <v>75</v>
      </c>
      <c r="AO24" s="94">
        <v>73</v>
      </c>
      <c r="AP24" s="94">
        <v>71</v>
      </c>
      <c r="AQ24" s="94">
        <v>69</v>
      </c>
      <c r="AR24" s="94">
        <v>68</v>
      </c>
      <c r="AS24" s="94">
        <v>67</v>
      </c>
      <c r="AT24" s="94">
        <v>67</v>
      </c>
      <c r="AU24" s="94">
        <v>67</v>
      </c>
      <c r="AV24" s="94">
        <v>66</v>
      </c>
      <c r="AW24" s="94">
        <v>66</v>
      </c>
      <c r="AX24" s="94">
        <v>66</v>
      </c>
      <c r="AY24" s="94">
        <v>65</v>
      </c>
      <c r="AZ24" s="94">
        <v>66</v>
      </c>
      <c r="BA24" s="94">
        <v>66</v>
      </c>
      <c r="BB24" s="94">
        <v>67</v>
      </c>
      <c r="BC24" s="94">
        <v>69</v>
      </c>
      <c r="BD24" s="94">
        <v>72</v>
      </c>
      <c r="BE24" s="94">
        <v>76</v>
      </c>
      <c r="BF24" s="94">
        <v>81</v>
      </c>
      <c r="BG24" s="94">
        <v>87</v>
      </c>
      <c r="BH24" s="94">
        <v>94</v>
      </c>
      <c r="BI24" s="94">
        <v>103</v>
      </c>
      <c r="BJ24" s="94">
        <v>113</v>
      </c>
      <c r="BK24" s="94">
        <v>122</v>
      </c>
      <c r="BL24" s="94">
        <v>130</v>
      </c>
      <c r="BM24" s="94">
        <v>138</v>
      </c>
      <c r="BN24" s="94">
        <v>146</v>
      </c>
      <c r="BO24" s="94">
        <v>152</v>
      </c>
      <c r="BP24" s="94">
        <v>157</v>
      </c>
      <c r="BQ24" s="94">
        <v>160</v>
      </c>
      <c r="BR24" s="94">
        <v>162</v>
      </c>
      <c r="BS24" s="94">
        <v>164</v>
      </c>
      <c r="BT24" s="94">
        <v>165</v>
      </c>
      <c r="BU24" s="94">
        <v>166</v>
      </c>
      <c r="BV24" s="94">
        <v>166</v>
      </c>
      <c r="BW24" s="94">
        <v>166</v>
      </c>
      <c r="BX24" s="94">
        <v>167</v>
      </c>
      <c r="BY24" s="94">
        <v>167</v>
      </c>
      <c r="BZ24" s="94">
        <v>167</v>
      </c>
      <c r="CA24" s="94">
        <v>167</v>
      </c>
      <c r="CB24" s="94">
        <v>166</v>
      </c>
      <c r="CC24" s="94">
        <v>164</v>
      </c>
      <c r="CD24" s="94">
        <v>162</v>
      </c>
      <c r="CE24" s="94">
        <v>160</v>
      </c>
      <c r="CF24" s="94">
        <v>158</v>
      </c>
      <c r="CG24" s="94">
        <v>156</v>
      </c>
      <c r="CH24" s="94">
        <v>155</v>
      </c>
      <c r="CI24" s="94">
        <v>153</v>
      </c>
      <c r="CJ24" s="94">
        <v>151</v>
      </c>
      <c r="CK24" s="94">
        <v>149</v>
      </c>
      <c r="CL24" s="94">
        <v>148</v>
      </c>
      <c r="CM24" s="94">
        <v>145</v>
      </c>
      <c r="CN24" s="94">
        <v>142</v>
      </c>
      <c r="CO24" s="94">
        <v>138</v>
      </c>
      <c r="CP24" s="94">
        <v>134</v>
      </c>
      <c r="CQ24" s="94">
        <v>130</v>
      </c>
      <c r="CR24" s="94">
        <v>126</v>
      </c>
      <c r="CS24" s="94">
        <v>123</v>
      </c>
      <c r="CT24" s="94"/>
      <c r="CU24" s="94"/>
      <c r="CV24" s="94"/>
      <c r="CW24" s="94"/>
      <c r="CX24" s="97">
        <f t="array" ref="CX24">SUMPRODUCT(B24:CW24*0.25)</f>
        <v>2753.25</v>
      </c>
    </row>
    <row r="25" spans="1:102" ht="24.95" customHeight="1" x14ac:dyDescent="0.2">
      <c r="A25" s="104" t="s">
        <v>21</v>
      </c>
      <c r="B25" s="94">
        <v>239</v>
      </c>
      <c r="C25" s="94">
        <v>239</v>
      </c>
      <c r="D25" s="94">
        <v>239</v>
      </c>
      <c r="E25" s="94">
        <v>239</v>
      </c>
      <c r="F25" s="94">
        <v>222.00000000000003</v>
      </c>
      <c r="G25" s="94">
        <v>222.00000000000003</v>
      </c>
      <c r="H25" s="94">
        <v>222.00000000000003</v>
      </c>
      <c r="I25" s="94">
        <v>222.00000000000003</v>
      </c>
      <c r="J25" s="94">
        <v>214.00000000000003</v>
      </c>
      <c r="K25" s="94">
        <v>214.00000000000003</v>
      </c>
      <c r="L25" s="94">
        <v>214.00000000000003</v>
      </c>
      <c r="M25" s="94">
        <v>214.00000000000003</v>
      </c>
      <c r="N25" s="94">
        <v>210</v>
      </c>
      <c r="O25" s="94">
        <v>210</v>
      </c>
      <c r="P25" s="94">
        <v>210</v>
      </c>
      <c r="Q25" s="94">
        <v>210</v>
      </c>
      <c r="R25" s="94">
        <v>217</v>
      </c>
      <c r="S25" s="94">
        <v>217</v>
      </c>
      <c r="T25" s="94">
        <v>217</v>
      </c>
      <c r="U25" s="94">
        <v>217</v>
      </c>
      <c r="V25" s="94">
        <v>239</v>
      </c>
      <c r="W25" s="94">
        <v>239</v>
      </c>
      <c r="X25" s="94">
        <v>239</v>
      </c>
      <c r="Y25" s="94">
        <v>239</v>
      </c>
      <c r="Z25" s="94">
        <v>275</v>
      </c>
      <c r="AA25" s="94">
        <v>275</v>
      </c>
      <c r="AB25" s="94">
        <v>275</v>
      </c>
      <c r="AC25" s="94">
        <v>275</v>
      </c>
      <c r="AD25" s="94">
        <v>312.00000000000006</v>
      </c>
      <c r="AE25" s="94">
        <v>312.00000000000006</v>
      </c>
      <c r="AF25" s="94">
        <v>312.00000000000006</v>
      </c>
      <c r="AG25" s="94">
        <v>312.00000000000006</v>
      </c>
      <c r="AH25" s="94">
        <v>318</v>
      </c>
      <c r="AI25" s="94">
        <v>318</v>
      </c>
      <c r="AJ25" s="94">
        <v>318</v>
      </c>
      <c r="AK25" s="94">
        <v>318</v>
      </c>
      <c r="AL25" s="94">
        <v>311</v>
      </c>
      <c r="AM25" s="94">
        <v>311</v>
      </c>
      <c r="AN25" s="94">
        <v>311</v>
      </c>
      <c r="AO25" s="94">
        <v>311</v>
      </c>
      <c r="AP25" s="94">
        <v>304</v>
      </c>
      <c r="AQ25" s="94">
        <v>304</v>
      </c>
      <c r="AR25" s="94">
        <v>304</v>
      </c>
      <c r="AS25" s="94">
        <v>304</v>
      </c>
      <c r="AT25" s="94">
        <v>300.00000000000006</v>
      </c>
      <c r="AU25" s="94">
        <v>300.00000000000006</v>
      </c>
      <c r="AV25" s="94">
        <v>300.00000000000006</v>
      </c>
      <c r="AW25" s="94">
        <v>300.00000000000006</v>
      </c>
      <c r="AX25" s="94">
        <v>297</v>
      </c>
      <c r="AY25" s="94">
        <v>297</v>
      </c>
      <c r="AZ25" s="94">
        <v>297</v>
      </c>
      <c r="BA25" s="94">
        <v>297</v>
      </c>
      <c r="BB25" s="94">
        <v>293</v>
      </c>
      <c r="BC25" s="94">
        <v>293</v>
      </c>
      <c r="BD25" s="94">
        <v>293</v>
      </c>
      <c r="BE25" s="94">
        <v>293</v>
      </c>
      <c r="BF25" s="94">
        <v>302</v>
      </c>
      <c r="BG25" s="94">
        <v>302</v>
      </c>
      <c r="BH25" s="94">
        <v>302</v>
      </c>
      <c r="BI25" s="94">
        <v>302</v>
      </c>
      <c r="BJ25" s="94">
        <v>323.99999999999994</v>
      </c>
      <c r="BK25" s="94">
        <v>323.99999999999994</v>
      </c>
      <c r="BL25" s="94">
        <v>323.99999999999994</v>
      </c>
      <c r="BM25" s="94">
        <v>323.99999999999994</v>
      </c>
      <c r="BN25" s="94">
        <v>371</v>
      </c>
      <c r="BO25" s="94">
        <v>371</v>
      </c>
      <c r="BP25" s="94">
        <v>371</v>
      </c>
      <c r="BQ25" s="94">
        <v>371</v>
      </c>
      <c r="BR25" s="94">
        <v>399.00000000000006</v>
      </c>
      <c r="BS25" s="94">
        <v>399.00000000000006</v>
      </c>
      <c r="BT25" s="94">
        <v>399.00000000000006</v>
      </c>
      <c r="BU25" s="94">
        <v>399.00000000000006</v>
      </c>
      <c r="BV25" s="94">
        <v>396</v>
      </c>
      <c r="BW25" s="94">
        <v>396</v>
      </c>
      <c r="BX25" s="94">
        <v>396</v>
      </c>
      <c r="BY25" s="94">
        <v>396</v>
      </c>
      <c r="BZ25" s="94">
        <v>375</v>
      </c>
      <c r="CA25" s="94">
        <v>375</v>
      </c>
      <c r="CB25" s="94">
        <v>375</v>
      </c>
      <c r="CC25" s="94">
        <v>375</v>
      </c>
      <c r="CD25" s="94">
        <v>339</v>
      </c>
      <c r="CE25" s="94">
        <v>339</v>
      </c>
      <c r="CF25" s="94">
        <v>339</v>
      </c>
      <c r="CG25" s="94">
        <v>339</v>
      </c>
      <c r="CH25" s="94">
        <v>304</v>
      </c>
      <c r="CI25" s="94">
        <v>304</v>
      </c>
      <c r="CJ25" s="94">
        <v>304</v>
      </c>
      <c r="CK25" s="94">
        <v>304</v>
      </c>
      <c r="CL25" s="94">
        <v>275</v>
      </c>
      <c r="CM25" s="94">
        <v>275</v>
      </c>
      <c r="CN25" s="94">
        <v>275</v>
      </c>
      <c r="CO25" s="94">
        <v>275</v>
      </c>
      <c r="CP25" s="94">
        <v>244</v>
      </c>
      <c r="CQ25" s="94">
        <v>244</v>
      </c>
      <c r="CR25" s="94">
        <v>244</v>
      </c>
      <c r="CS25" s="94">
        <v>244</v>
      </c>
      <c r="CT25" s="94"/>
      <c r="CU25" s="94"/>
      <c r="CV25" s="94"/>
      <c r="CW25" s="94"/>
      <c r="CX25" s="97">
        <f t="array" ref="CX25">SUMPRODUCT(B25:CW25*0.25)</f>
        <v>7080</v>
      </c>
    </row>
    <row r="26" spans="1:102" ht="24.95" customHeight="1" x14ac:dyDescent="0.2">
      <c r="A26" s="104" t="s">
        <v>22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7">
        <f t="array" ref="CX26">SUMPRODUCT(B26:CW26*0.25)</f>
        <v>0</v>
      </c>
    </row>
    <row r="27" spans="1:102" ht="30" customHeight="1" thickBot="1" x14ac:dyDescent="0.25">
      <c r="A27" s="105" t="s">
        <v>23</v>
      </c>
      <c r="B27" s="106">
        <f>SUM(B20:B26)</f>
        <v>5160.8230000000003</v>
      </c>
      <c r="C27" s="107">
        <f t="shared" ref="C27:BN27" si="2">SUM(C20:C26)</f>
        <v>5086.4430000000002</v>
      </c>
      <c r="D27" s="107">
        <f t="shared" si="2"/>
        <v>5015.402</v>
      </c>
      <c r="E27" s="107">
        <f t="shared" si="2"/>
        <v>4970.8310000000001</v>
      </c>
      <c r="F27" s="107">
        <f t="shared" si="2"/>
        <v>4903.5469999999996</v>
      </c>
      <c r="G27" s="107">
        <f t="shared" si="2"/>
        <v>4873.7640000000001</v>
      </c>
      <c r="H27" s="107">
        <f t="shared" si="2"/>
        <v>4847.0939999999991</v>
      </c>
      <c r="I27" s="107">
        <f t="shared" si="2"/>
        <v>4852.8829999999998</v>
      </c>
      <c r="J27" s="107">
        <f t="shared" si="2"/>
        <v>4781.5740000000005</v>
      </c>
      <c r="K27" s="107">
        <f t="shared" si="2"/>
        <v>4762.7449999999999</v>
      </c>
      <c r="L27" s="107">
        <f t="shared" si="2"/>
        <v>4737.7829999999994</v>
      </c>
      <c r="M27" s="107">
        <f t="shared" si="2"/>
        <v>4740.6399999999994</v>
      </c>
      <c r="N27" s="107">
        <f t="shared" si="2"/>
        <v>4654.1459999999997</v>
      </c>
      <c r="O27" s="107">
        <f t="shared" si="2"/>
        <v>4663.9279999999999</v>
      </c>
      <c r="P27" s="107">
        <f t="shared" si="2"/>
        <v>4642.3369999999995</v>
      </c>
      <c r="Q27" s="107">
        <f t="shared" si="2"/>
        <v>4626.9429999999993</v>
      </c>
      <c r="R27" s="107">
        <f t="shared" si="2"/>
        <v>4612.1379999999999</v>
      </c>
      <c r="S27" s="107">
        <f t="shared" si="2"/>
        <v>4606.9229999999998</v>
      </c>
      <c r="T27" s="107">
        <f t="shared" si="2"/>
        <v>4619.8739999999998</v>
      </c>
      <c r="U27" s="107">
        <f t="shared" si="2"/>
        <v>4642.6859999999997</v>
      </c>
      <c r="V27" s="107">
        <f t="shared" si="2"/>
        <v>4719.7509999999993</v>
      </c>
      <c r="W27" s="107">
        <f t="shared" si="2"/>
        <v>4751.4319999999989</v>
      </c>
      <c r="X27" s="107">
        <f t="shared" si="2"/>
        <v>4797.8590000000004</v>
      </c>
      <c r="Y27" s="107">
        <f t="shared" si="2"/>
        <v>4853.8139999999994</v>
      </c>
      <c r="Z27" s="107">
        <f t="shared" si="2"/>
        <v>5016.177999999999</v>
      </c>
      <c r="AA27" s="107">
        <f t="shared" si="2"/>
        <v>5074.2150000000001</v>
      </c>
      <c r="AB27" s="107">
        <f t="shared" si="2"/>
        <v>5147.4239999999991</v>
      </c>
      <c r="AC27" s="107">
        <f t="shared" si="2"/>
        <v>5219.6039999999994</v>
      </c>
      <c r="AD27" s="107">
        <f t="shared" si="2"/>
        <v>5405.5</v>
      </c>
      <c r="AE27" s="107">
        <f t="shared" si="2"/>
        <v>5534.6660000000002</v>
      </c>
      <c r="AF27" s="107">
        <f t="shared" si="2"/>
        <v>5672.7550000000001</v>
      </c>
      <c r="AG27" s="107">
        <f t="shared" si="2"/>
        <v>5883.8870000000006</v>
      </c>
      <c r="AH27" s="107">
        <f t="shared" si="2"/>
        <v>6077.8650000000016</v>
      </c>
      <c r="AI27" s="107">
        <f t="shared" si="2"/>
        <v>6205.0659999999998</v>
      </c>
      <c r="AJ27" s="107">
        <f t="shared" si="2"/>
        <v>6323.3820000000014</v>
      </c>
      <c r="AK27" s="107">
        <f t="shared" si="2"/>
        <v>6432.496000000001</v>
      </c>
      <c r="AL27" s="107">
        <f t="shared" si="2"/>
        <v>6471.2850000000008</v>
      </c>
      <c r="AM27" s="107">
        <f t="shared" si="2"/>
        <v>6554.74</v>
      </c>
      <c r="AN27" s="107">
        <f t="shared" si="2"/>
        <v>6695.139000000001</v>
      </c>
      <c r="AO27" s="107">
        <f t="shared" si="2"/>
        <v>6773.5609999999997</v>
      </c>
      <c r="AP27" s="107">
        <f t="shared" si="2"/>
        <v>6959.4679999999998</v>
      </c>
      <c r="AQ27" s="107">
        <f t="shared" si="2"/>
        <v>7031.6890000000003</v>
      </c>
      <c r="AR27" s="107">
        <f t="shared" si="2"/>
        <v>7081.9809999999998</v>
      </c>
      <c r="AS27" s="107">
        <f t="shared" si="2"/>
        <v>7110.3870000000006</v>
      </c>
      <c r="AT27" s="107">
        <f t="shared" si="2"/>
        <v>7081.8609999999999</v>
      </c>
      <c r="AU27" s="107">
        <f t="shared" si="2"/>
        <v>7149.6790000000001</v>
      </c>
      <c r="AV27" s="107">
        <f t="shared" si="2"/>
        <v>7137.918999999999</v>
      </c>
      <c r="AW27" s="107">
        <f t="shared" si="2"/>
        <v>7108.165</v>
      </c>
      <c r="AX27" s="107">
        <f t="shared" si="2"/>
        <v>7044.5700000000015</v>
      </c>
      <c r="AY27" s="107">
        <f t="shared" si="2"/>
        <v>6974.9840000000004</v>
      </c>
      <c r="AZ27" s="107">
        <f t="shared" si="2"/>
        <v>6904.0249999999996</v>
      </c>
      <c r="BA27" s="107">
        <f t="shared" si="2"/>
        <v>6813.0290000000005</v>
      </c>
      <c r="BB27" s="107">
        <f t="shared" si="2"/>
        <v>6585.866</v>
      </c>
      <c r="BC27" s="107">
        <f t="shared" si="2"/>
        <v>6596.7570000000005</v>
      </c>
      <c r="BD27" s="107">
        <f t="shared" si="2"/>
        <v>6535.6019999999999</v>
      </c>
      <c r="BE27" s="107">
        <f t="shared" si="2"/>
        <v>6468.1589999999997</v>
      </c>
      <c r="BF27" s="107">
        <f t="shared" si="2"/>
        <v>6275.558</v>
      </c>
      <c r="BG27" s="107">
        <f t="shared" si="2"/>
        <v>6225.6640000000007</v>
      </c>
      <c r="BH27" s="107">
        <f t="shared" si="2"/>
        <v>6188.4860000000008</v>
      </c>
      <c r="BI27" s="107">
        <f t="shared" si="2"/>
        <v>6109.3060000000005</v>
      </c>
      <c r="BJ27" s="107">
        <f t="shared" si="2"/>
        <v>6153.2780000000002</v>
      </c>
      <c r="BK27" s="107">
        <f t="shared" si="2"/>
        <v>6178.3580000000002</v>
      </c>
      <c r="BL27" s="107">
        <f t="shared" si="2"/>
        <v>6234.4449999999997</v>
      </c>
      <c r="BM27" s="107">
        <f t="shared" si="2"/>
        <v>6220.0830000000005</v>
      </c>
      <c r="BN27" s="107">
        <f t="shared" si="2"/>
        <v>6497.7290000000012</v>
      </c>
      <c r="BO27" s="107">
        <f t="shared" ref="BO27:CW27" si="3">SUM(BO20:BO26)</f>
        <v>6626.2429999999995</v>
      </c>
      <c r="BP27" s="107">
        <f t="shared" si="3"/>
        <v>6778.3140000000003</v>
      </c>
      <c r="BQ27" s="107">
        <f t="shared" si="3"/>
        <v>6909.8429999999998</v>
      </c>
      <c r="BR27" s="107">
        <f t="shared" si="3"/>
        <v>7061.7980000000007</v>
      </c>
      <c r="BS27" s="107">
        <f t="shared" si="3"/>
        <v>7154.9989999999998</v>
      </c>
      <c r="BT27" s="107">
        <f t="shared" si="3"/>
        <v>7219.9660000000003</v>
      </c>
      <c r="BU27" s="107">
        <f t="shared" si="3"/>
        <v>7250.7320000000009</v>
      </c>
      <c r="BV27" s="107">
        <f t="shared" si="3"/>
        <v>7231.2019999999993</v>
      </c>
      <c r="BW27" s="107">
        <f t="shared" si="3"/>
        <v>7236.6739999999991</v>
      </c>
      <c r="BX27" s="107">
        <f t="shared" si="3"/>
        <v>7280.2490000000007</v>
      </c>
      <c r="BY27" s="107">
        <f t="shared" si="3"/>
        <v>7278.93</v>
      </c>
      <c r="BZ27" s="107">
        <f t="shared" si="3"/>
        <v>7245.2820000000011</v>
      </c>
      <c r="CA27" s="107">
        <f t="shared" si="3"/>
        <v>7229.6980000000003</v>
      </c>
      <c r="CB27" s="107">
        <f t="shared" si="3"/>
        <v>7156.8950000000004</v>
      </c>
      <c r="CC27" s="107">
        <f t="shared" si="3"/>
        <v>7038.3160000000007</v>
      </c>
      <c r="CD27" s="107">
        <f t="shared" si="3"/>
        <v>6992.076</v>
      </c>
      <c r="CE27" s="107">
        <f t="shared" si="3"/>
        <v>6920.1130000000012</v>
      </c>
      <c r="CF27" s="107">
        <f t="shared" si="3"/>
        <v>6841.0990000000002</v>
      </c>
      <c r="CG27" s="107">
        <f t="shared" si="3"/>
        <v>6801.0499999999993</v>
      </c>
      <c r="CH27" s="107">
        <f t="shared" si="3"/>
        <v>6621.6750000000002</v>
      </c>
      <c r="CI27" s="107">
        <f t="shared" si="3"/>
        <v>6547.0810000000001</v>
      </c>
      <c r="CJ27" s="107">
        <f t="shared" si="3"/>
        <v>6514.3440000000001</v>
      </c>
      <c r="CK27" s="107">
        <f t="shared" si="3"/>
        <v>6442.2449999999999</v>
      </c>
      <c r="CL27" s="107">
        <f t="shared" si="3"/>
        <v>6254.1439999999993</v>
      </c>
      <c r="CM27" s="107">
        <f t="shared" si="3"/>
        <v>6083.8169999999991</v>
      </c>
      <c r="CN27" s="107">
        <f t="shared" si="3"/>
        <v>6050.9279999999999</v>
      </c>
      <c r="CO27" s="107">
        <f t="shared" si="3"/>
        <v>5927.110999999999</v>
      </c>
      <c r="CP27" s="107">
        <f t="shared" si="3"/>
        <v>5721.4560000000001</v>
      </c>
      <c r="CQ27" s="107">
        <f t="shared" si="3"/>
        <v>5572.3279999999995</v>
      </c>
      <c r="CR27" s="107">
        <f t="shared" si="3"/>
        <v>5437.8559999999998</v>
      </c>
      <c r="CS27" s="107">
        <f t="shared" si="3"/>
        <v>5311.28</v>
      </c>
      <c r="CT27" s="108">
        <f t="shared" si="3"/>
        <v>0</v>
      </c>
      <c r="CU27" s="108">
        <f t="shared" si="3"/>
        <v>0</v>
      </c>
      <c r="CV27" s="108">
        <f t="shared" si="3"/>
        <v>0</v>
      </c>
      <c r="CW27" s="109">
        <f t="shared" si="3"/>
        <v>0</v>
      </c>
      <c r="CX27" s="110">
        <f>SUM(CX20:CX26)</f>
        <v>145704.47875000001</v>
      </c>
    </row>
    <row r="28" spans="1:102" ht="18" customHeight="1" thickBot="1" x14ac:dyDescent="0.25">
      <c r="A28" s="81"/>
      <c r="B28" s="82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4"/>
    </row>
    <row r="29" spans="1:102" ht="30" customHeight="1" thickBot="1" x14ac:dyDescent="0.25">
      <c r="A29" s="85" t="s">
        <v>40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50"/>
      <c r="CX29" s="18" t="s">
        <v>1</v>
      </c>
    </row>
    <row r="30" spans="1:102" ht="24.95" customHeight="1" x14ac:dyDescent="0.2">
      <c r="A30" s="86" t="s">
        <v>25</v>
      </c>
      <c r="B30" s="87">
        <v>561</v>
      </c>
      <c r="C30" s="88">
        <v>559</v>
      </c>
      <c r="D30" s="88">
        <v>558</v>
      </c>
      <c r="E30" s="88">
        <v>556</v>
      </c>
      <c r="F30" s="88">
        <v>539</v>
      </c>
      <c r="G30" s="88">
        <v>538</v>
      </c>
      <c r="H30" s="88">
        <v>537</v>
      </c>
      <c r="I30" s="88">
        <v>537</v>
      </c>
      <c r="J30" s="88">
        <v>528</v>
      </c>
      <c r="K30" s="88">
        <v>527</v>
      </c>
      <c r="L30" s="88">
        <v>526</v>
      </c>
      <c r="M30" s="88">
        <v>525</v>
      </c>
      <c r="N30" s="88">
        <v>519</v>
      </c>
      <c r="O30" s="88">
        <v>519</v>
      </c>
      <c r="P30" s="88">
        <v>518</v>
      </c>
      <c r="Q30" s="88">
        <v>518</v>
      </c>
      <c r="R30" s="88">
        <v>513</v>
      </c>
      <c r="S30" s="88">
        <v>513</v>
      </c>
      <c r="T30" s="88">
        <v>514</v>
      </c>
      <c r="U30" s="88">
        <v>515</v>
      </c>
      <c r="V30" s="88">
        <v>537</v>
      </c>
      <c r="W30" s="88">
        <v>538</v>
      </c>
      <c r="X30" s="88">
        <v>539</v>
      </c>
      <c r="Y30" s="88">
        <v>541</v>
      </c>
      <c r="Z30" s="88">
        <v>600</v>
      </c>
      <c r="AA30" s="88">
        <v>602</v>
      </c>
      <c r="AB30" s="88">
        <v>603</v>
      </c>
      <c r="AC30" s="88">
        <v>603</v>
      </c>
      <c r="AD30" s="88">
        <v>644.24</v>
      </c>
      <c r="AE30" s="88">
        <v>642.24</v>
      </c>
      <c r="AF30" s="88">
        <v>640.24</v>
      </c>
      <c r="AG30" s="88">
        <v>636.24</v>
      </c>
      <c r="AH30" s="88">
        <v>682.51</v>
      </c>
      <c r="AI30" s="88">
        <v>676.51</v>
      </c>
      <c r="AJ30" s="88">
        <v>671.51</v>
      </c>
      <c r="AK30" s="88">
        <v>667.51</v>
      </c>
      <c r="AL30" s="88">
        <v>693.44</v>
      </c>
      <c r="AM30" s="88">
        <v>689.44</v>
      </c>
      <c r="AN30" s="88">
        <v>686.44</v>
      </c>
      <c r="AO30" s="88">
        <v>684.44</v>
      </c>
      <c r="AP30" s="88">
        <v>676.63</v>
      </c>
      <c r="AQ30" s="88">
        <v>674.63</v>
      </c>
      <c r="AR30" s="88">
        <v>673.63</v>
      </c>
      <c r="AS30" s="88">
        <v>672.63</v>
      </c>
      <c r="AT30" s="88">
        <v>675.03</v>
      </c>
      <c r="AU30" s="88">
        <v>675.03</v>
      </c>
      <c r="AV30" s="88">
        <v>674.03</v>
      </c>
      <c r="AW30" s="88">
        <v>674.03</v>
      </c>
      <c r="AX30" s="88">
        <v>670.78</v>
      </c>
      <c r="AY30" s="88">
        <v>669.78</v>
      </c>
      <c r="AZ30" s="88">
        <v>670.78</v>
      </c>
      <c r="BA30" s="88">
        <v>670.78</v>
      </c>
      <c r="BB30" s="88">
        <v>648.78</v>
      </c>
      <c r="BC30" s="88">
        <v>650.78</v>
      </c>
      <c r="BD30" s="88">
        <v>653.78</v>
      </c>
      <c r="BE30" s="88">
        <v>657.78</v>
      </c>
      <c r="BF30" s="88">
        <v>665.96</v>
      </c>
      <c r="BG30" s="88">
        <v>671.96</v>
      </c>
      <c r="BH30" s="88">
        <v>678.96</v>
      </c>
      <c r="BI30" s="88">
        <v>687.96</v>
      </c>
      <c r="BJ30" s="88">
        <v>684.54</v>
      </c>
      <c r="BK30" s="88">
        <v>693.54</v>
      </c>
      <c r="BL30" s="88">
        <v>701.54</v>
      </c>
      <c r="BM30" s="88">
        <v>709.54</v>
      </c>
      <c r="BN30" s="88">
        <v>738</v>
      </c>
      <c r="BO30" s="88">
        <v>744</v>
      </c>
      <c r="BP30" s="88">
        <v>749</v>
      </c>
      <c r="BQ30" s="88">
        <v>752</v>
      </c>
      <c r="BR30" s="88">
        <v>782</v>
      </c>
      <c r="BS30" s="88">
        <v>784</v>
      </c>
      <c r="BT30" s="88">
        <v>785</v>
      </c>
      <c r="BU30" s="88">
        <v>786</v>
      </c>
      <c r="BV30" s="88">
        <v>783</v>
      </c>
      <c r="BW30" s="88">
        <v>783</v>
      </c>
      <c r="BX30" s="88">
        <v>784</v>
      </c>
      <c r="BY30" s="88">
        <v>784</v>
      </c>
      <c r="BZ30" s="88">
        <v>763</v>
      </c>
      <c r="CA30" s="88">
        <v>763</v>
      </c>
      <c r="CB30" s="88">
        <v>762</v>
      </c>
      <c r="CC30" s="88">
        <v>760</v>
      </c>
      <c r="CD30" s="88">
        <v>702</v>
      </c>
      <c r="CE30" s="88">
        <v>700</v>
      </c>
      <c r="CF30" s="88">
        <v>698</v>
      </c>
      <c r="CG30" s="88">
        <v>696</v>
      </c>
      <c r="CH30" s="88">
        <v>683</v>
      </c>
      <c r="CI30" s="88">
        <v>681</v>
      </c>
      <c r="CJ30" s="88">
        <v>679</v>
      </c>
      <c r="CK30" s="88">
        <v>677</v>
      </c>
      <c r="CL30" s="88">
        <v>649</v>
      </c>
      <c r="CM30" s="88">
        <v>646</v>
      </c>
      <c r="CN30" s="88">
        <v>643</v>
      </c>
      <c r="CO30" s="88">
        <v>639</v>
      </c>
      <c r="CP30" s="88">
        <v>576</v>
      </c>
      <c r="CQ30" s="88">
        <v>572</v>
      </c>
      <c r="CR30" s="88">
        <v>568</v>
      </c>
      <c r="CS30" s="88">
        <v>565</v>
      </c>
      <c r="CT30" s="89"/>
      <c r="CU30" s="89"/>
      <c r="CV30" s="89"/>
      <c r="CW30" s="90"/>
      <c r="CX30" s="91">
        <f t="array" ref="CX30">SUMPRODUCT(B30:CW30*0.25)</f>
        <v>15514.159999999996</v>
      </c>
    </row>
    <row r="31" spans="1:102" ht="24.95" customHeight="1" x14ac:dyDescent="0.2">
      <c r="A31" s="92" t="s">
        <v>26</v>
      </c>
      <c r="B31" s="93">
        <v>5320.8230000000003</v>
      </c>
      <c r="C31" s="94">
        <v>5248.4430000000002</v>
      </c>
      <c r="D31" s="94">
        <v>5178.402</v>
      </c>
      <c r="E31" s="94">
        <v>5135.8310000000001</v>
      </c>
      <c r="F31" s="94">
        <v>5089.5469999999996</v>
      </c>
      <c r="G31" s="94">
        <v>5060.7640000000001</v>
      </c>
      <c r="H31" s="94">
        <v>5035.0940000000001</v>
      </c>
      <c r="I31" s="94">
        <v>5040.8829999999998</v>
      </c>
      <c r="J31" s="94">
        <v>4971.5739999999996</v>
      </c>
      <c r="K31" s="94">
        <v>4953.7449999999999</v>
      </c>
      <c r="L31" s="94">
        <v>4929.7830000000004</v>
      </c>
      <c r="M31" s="94">
        <v>4933.6400000000003</v>
      </c>
      <c r="N31" s="94">
        <v>4859.1459999999997</v>
      </c>
      <c r="O31" s="94">
        <v>4868.9279999999999</v>
      </c>
      <c r="P31" s="94">
        <v>4848.3370000000004</v>
      </c>
      <c r="Q31" s="94">
        <v>4832.9430000000002</v>
      </c>
      <c r="R31" s="94">
        <v>4789.1379999999999</v>
      </c>
      <c r="S31" s="94">
        <v>4783.9229999999998</v>
      </c>
      <c r="T31" s="94">
        <v>4795.8739999999998</v>
      </c>
      <c r="U31" s="94">
        <v>4817.6859999999997</v>
      </c>
      <c r="V31" s="94">
        <v>4836.7510000000002</v>
      </c>
      <c r="W31" s="94">
        <v>4867.4319999999998</v>
      </c>
      <c r="X31" s="94">
        <v>4912.8590000000004</v>
      </c>
      <c r="Y31" s="94">
        <v>4966.8140000000003</v>
      </c>
      <c r="Z31" s="94">
        <v>5013.1779999999999</v>
      </c>
      <c r="AA31" s="94">
        <v>5069.2150000000001</v>
      </c>
      <c r="AB31" s="94">
        <v>5141.424</v>
      </c>
      <c r="AC31" s="94">
        <v>5211.5159999999996</v>
      </c>
      <c r="AD31" s="94">
        <v>5320.268</v>
      </c>
      <c r="AE31" s="94">
        <v>5445.3379999999997</v>
      </c>
      <c r="AF31" s="94">
        <v>5578.491</v>
      </c>
      <c r="AG31" s="94">
        <v>5787.2950000000001</v>
      </c>
      <c r="AH31" s="94">
        <v>5986.6109999999999</v>
      </c>
      <c r="AI31" s="94">
        <v>6114.3760000000002</v>
      </c>
      <c r="AJ31" s="94">
        <v>6232.1679999999997</v>
      </c>
      <c r="AK31" s="94">
        <v>6340.3860000000004</v>
      </c>
      <c r="AL31" s="94">
        <v>6482.2610000000004</v>
      </c>
      <c r="AM31" s="94">
        <v>6565.848</v>
      </c>
      <c r="AN31" s="94">
        <v>6708.6989999999996</v>
      </c>
      <c r="AO31" s="94">
        <v>6789.1210000000001</v>
      </c>
      <c r="AP31" s="94">
        <v>6990.8379999999997</v>
      </c>
      <c r="AQ31" s="94">
        <v>7065.0590000000002</v>
      </c>
      <c r="AR31" s="94">
        <v>7116.3509999999997</v>
      </c>
      <c r="AS31" s="94">
        <v>7145.7569999999996</v>
      </c>
      <c r="AT31" s="94">
        <v>7091.8310000000001</v>
      </c>
      <c r="AU31" s="94">
        <v>7159.6490000000003</v>
      </c>
      <c r="AV31" s="94">
        <v>7148.8890000000001</v>
      </c>
      <c r="AW31" s="94">
        <v>7119.1350000000002</v>
      </c>
      <c r="AX31" s="94">
        <v>7070.79</v>
      </c>
      <c r="AY31" s="94">
        <v>7002.2039999999997</v>
      </c>
      <c r="AZ31" s="94">
        <v>6930.2449999999999</v>
      </c>
      <c r="BA31" s="94">
        <v>6839.2489999999998</v>
      </c>
      <c r="BB31" s="94">
        <v>6703.6819999999998</v>
      </c>
      <c r="BC31" s="94">
        <v>6716.4210000000003</v>
      </c>
      <c r="BD31" s="94">
        <v>6656.4059999999999</v>
      </c>
      <c r="BE31" s="94">
        <v>6589.643</v>
      </c>
      <c r="BF31" s="94">
        <v>6284.03</v>
      </c>
      <c r="BG31" s="94">
        <v>6233.3119999999999</v>
      </c>
      <c r="BH31" s="94">
        <v>6194.5659999999998</v>
      </c>
      <c r="BI31" s="94">
        <v>6112.4780000000001</v>
      </c>
      <c r="BJ31" s="94">
        <v>6156.1819999999998</v>
      </c>
      <c r="BK31" s="94">
        <v>6177.4620000000004</v>
      </c>
      <c r="BL31" s="94">
        <v>6229.2809999999999</v>
      </c>
      <c r="BM31" s="94">
        <v>6209.4110000000001</v>
      </c>
      <c r="BN31" s="94">
        <v>6403.7290000000003</v>
      </c>
      <c r="BO31" s="94">
        <v>6526.2430000000004</v>
      </c>
      <c r="BP31" s="94">
        <v>6673.3140000000003</v>
      </c>
      <c r="BQ31" s="94">
        <v>6801.8429999999998</v>
      </c>
      <c r="BR31" s="94">
        <v>6959.7979999999998</v>
      </c>
      <c r="BS31" s="94">
        <v>7050.9989999999998</v>
      </c>
      <c r="BT31" s="94">
        <v>7114.9660000000003</v>
      </c>
      <c r="BU31" s="94">
        <v>7144.732</v>
      </c>
      <c r="BV31" s="94">
        <v>7117.2020000000002</v>
      </c>
      <c r="BW31" s="94">
        <v>7122.674</v>
      </c>
      <c r="BX31" s="94">
        <v>7165.2489999999998</v>
      </c>
      <c r="BY31" s="94">
        <v>7163.93</v>
      </c>
      <c r="BZ31" s="94">
        <v>7141.2820000000002</v>
      </c>
      <c r="CA31" s="94">
        <v>7125.6980000000003</v>
      </c>
      <c r="CB31" s="94">
        <v>7053.8950000000004</v>
      </c>
      <c r="CC31" s="94">
        <v>6937.3159999999998</v>
      </c>
      <c r="CD31" s="94">
        <v>6943.076</v>
      </c>
      <c r="CE31" s="94">
        <v>6873.1130000000003</v>
      </c>
      <c r="CF31" s="94">
        <v>6796.0990000000002</v>
      </c>
      <c r="CG31" s="94">
        <v>6758.05</v>
      </c>
      <c r="CH31" s="94">
        <v>6633.6750000000002</v>
      </c>
      <c r="CI31" s="94">
        <v>6561.0810000000001</v>
      </c>
      <c r="CJ31" s="94">
        <v>6530.3440000000001</v>
      </c>
      <c r="CK31" s="94">
        <v>6460.2449999999999</v>
      </c>
      <c r="CL31" s="94">
        <v>6333.1440000000002</v>
      </c>
      <c r="CM31" s="94">
        <v>6165.817</v>
      </c>
      <c r="CN31" s="94">
        <v>6135.9279999999999</v>
      </c>
      <c r="CO31" s="94">
        <v>6016.1109999999999</v>
      </c>
      <c r="CP31" s="94">
        <v>5851.4560000000001</v>
      </c>
      <c r="CQ31" s="94">
        <v>5706.3280000000004</v>
      </c>
      <c r="CR31" s="94">
        <v>5575.8559999999998</v>
      </c>
      <c r="CS31" s="94">
        <v>5452.28</v>
      </c>
      <c r="CT31" s="95"/>
      <c r="CU31" s="95"/>
      <c r="CV31" s="95"/>
      <c r="CW31" s="96"/>
      <c r="CX31" s="97">
        <f t="array" ref="CX31">SUMPRODUCT(B31:CW31*0.25)</f>
        <v>146525.72475000002</v>
      </c>
    </row>
    <row r="32" spans="1:102" ht="24.95" customHeight="1" x14ac:dyDescent="0.2">
      <c r="A32" s="101" t="s">
        <v>27</v>
      </c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100"/>
      <c r="CU32" s="100"/>
      <c r="CV32" s="100"/>
      <c r="CW32" s="102"/>
      <c r="CX32" s="103">
        <f t="array" ref="CX32">SUMPRODUCT(B32:CW32*0.25)</f>
        <v>0</v>
      </c>
    </row>
    <row r="33" spans="1:102" ht="30" customHeight="1" thickBot="1" x14ac:dyDescent="0.25">
      <c r="A33" s="75" t="s">
        <v>41</v>
      </c>
      <c r="B33" s="76">
        <f>SUM(B30:B32)</f>
        <v>5881.8230000000003</v>
      </c>
      <c r="C33" s="77">
        <f t="shared" ref="C33:BN33" si="4">SUM(C30:C32)</f>
        <v>5807.4430000000002</v>
      </c>
      <c r="D33" s="77">
        <f t="shared" si="4"/>
        <v>5736.402</v>
      </c>
      <c r="E33" s="77">
        <f t="shared" si="4"/>
        <v>5691.8310000000001</v>
      </c>
      <c r="F33" s="77">
        <f t="shared" si="4"/>
        <v>5628.5469999999996</v>
      </c>
      <c r="G33" s="77">
        <f t="shared" si="4"/>
        <v>5598.7640000000001</v>
      </c>
      <c r="H33" s="77">
        <f t="shared" si="4"/>
        <v>5572.0940000000001</v>
      </c>
      <c r="I33" s="77">
        <f t="shared" si="4"/>
        <v>5577.8829999999998</v>
      </c>
      <c r="J33" s="77">
        <f t="shared" si="4"/>
        <v>5499.5739999999996</v>
      </c>
      <c r="K33" s="77">
        <f t="shared" si="4"/>
        <v>5480.7449999999999</v>
      </c>
      <c r="L33" s="77">
        <f t="shared" si="4"/>
        <v>5455.7830000000004</v>
      </c>
      <c r="M33" s="77">
        <f t="shared" si="4"/>
        <v>5458.64</v>
      </c>
      <c r="N33" s="77">
        <f t="shared" si="4"/>
        <v>5378.1459999999997</v>
      </c>
      <c r="O33" s="77">
        <f t="shared" si="4"/>
        <v>5387.9279999999999</v>
      </c>
      <c r="P33" s="77">
        <f t="shared" si="4"/>
        <v>5366.3370000000004</v>
      </c>
      <c r="Q33" s="77">
        <f t="shared" si="4"/>
        <v>5350.9430000000002</v>
      </c>
      <c r="R33" s="77">
        <f t="shared" si="4"/>
        <v>5302.1379999999999</v>
      </c>
      <c r="S33" s="77">
        <f t="shared" si="4"/>
        <v>5296.9229999999998</v>
      </c>
      <c r="T33" s="77">
        <f t="shared" si="4"/>
        <v>5309.8739999999998</v>
      </c>
      <c r="U33" s="77">
        <f t="shared" si="4"/>
        <v>5332.6859999999997</v>
      </c>
      <c r="V33" s="77">
        <f t="shared" si="4"/>
        <v>5373.7510000000002</v>
      </c>
      <c r="W33" s="77">
        <f t="shared" si="4"/>
        <v>5405.4319999999998</v>
      </c>
      <c r="X33" s="77">
        <f t="shared" si="4"/>
        <v>5451.8590000000004</v>
      </c>
      <c r="Y33" s="77">
        <f t="shared" si="4"/>
        <v>5507.8140000000003</v>
      </c>
      <c r="Z33" s="77">
        <f t="shared" si="4"/>
        <v>5613.1779999999999</v>
      </c>
      <c r="AA33" s="77">
        <f t="shared" si="4"/>
        <v>5671.2150000000001</v>
      </c>
      <c r="AB33" s="77">
        <f t="shared" si="4"/>
        <v>5744.424</v>
      </c>
      <c r="AC33" s="77">
        <f t="shared" si="4"/>
        <v>5814.5159999999996</v>
      </c>
      <c r="AD33" s="77">
        <f t="shared" si="4"/>
        <v>5964.5079999999998</v>
      </c>
      <c r="AE33" s="77">
        <f t="shared" si="4"/>
        <v>6087.5779999999995</v>
      </c>
      <c r="AF33" s="77">
        <f t="shared" si="4"/>
        <v>6218.7309999999998</v>
      </c>
      <c r="AG33" s="77">
        <f t="shared" si="4"/>
        <v>6423.5349999999999</v>
      </c>
      <c r="AH33" s="77">
        <f t="shared" si="4"/>
        <v>6669.1210000000001</v>
      </c>
      <c r="AI33" s="77">
        <f t="shared" si="4"/>
        <v>6790.8860000000004</v>
      </c>
      <c r="AJ33" s="77">
        <f t="shared" si="4"/>
        <v>6903.6779999999999</v>
      </c>
      <c r="AK33" s="77">
        <f t="shared" si="4"/>
        <v>7007.8960000000006</v>
      </c>
      <c r="AL33" s="77">
        <f t="shared" si="4"/>
        <v>7175.7010000000009</v>
      </c>
      <c r="AM33" s="77">
        <f t="shared" si="4"/>
        <v>7255.2880000000005</v>
      </c>
      <c r="AN33" s="77">
        <f t="shared" si="4"/>
        <v>7395.1389999999992</v>
      </c>
      <c r="AO33" s="77">
        <f t="shared" si="4"/>
        <v>7473.5609999999997</v>
      </c>
      <c r="AP33" s="77">
        <f t="shared" si="4"/>
        <v>7667.4679999999998</v>
      </c>
      <c r="AQ33" s="77">
        <f t="shared" si="4"/>
        <v>7739.6890000000003</v>
      </c>
      <c r="AR33" s="77">
        <f t="shared" si="4"/>
        <v>7789.9809999999998</v>
      </c>
      <c r="AS33" s="77">
        <f t="shared" si="4"/>
        <v>7818.3869999999997</v>
      </c>
      <c r="AT33" s="77">
        <f t="shared" si="4"/>
        <v>7766.8609999999999</v>
      </c>
      <c r="AU33" s="77">
        <f t="shared" si="4"/>
        <v>7834.6790000000001</v>
      </c>
      <c r="AV33" s="77">
        <f t="shared" si="4"/>
        <v>7822.9189999999999</v>
      </c>
      <c r="AW33" s="77">
        <f t="shared" si="4"/>
        <v>7793.165</v>
      </c>
      <c r="AX33" s="77">
        <f t="shared" si="4"/>
        <v>7741.57</v>
      </c>
      <c r="AY33" s="77">
        <f t="shared" si="4"/>
        <v>7671.9839999999995</v>
      </c>
      <c r="AZ33" s="77">
        <f t="shared" si="4"/>
        <v>7601.0249999999996</v>
      </c>
      <c r="BA33" s="77">
        <f t="shared" si="4"/>
        <v>7510.0289999999995</v>
      </c>
      <c r="BB33" s="77">
        <f t="shared" si="4"/>
        <v>7352.4619999999995</v>
      </c>
      <c r="BC33" s="77">
        <f t="shared" si="4"/>
        <v>7367.201</v>
      </c>
      <c r="BD33" s="77">
        <f t="shared" si="4"/>
        <v>7310.1859999999997</v>
      </c>
      <c r="BE33" s="77">
        <f t="shared" si="4"/>
        <v>7247.4229999999998</v>
      </c>
      <c r="BF33" s="77">
        <f t="shared" si="4"/>
        <v>6949.99</v>
      </c>
      <c r="BG33" s="77">
        <f t="shared" si="4"/>
        <v>6905.2719999999999</v>
      </c>
      <c r="BH33" s="77">
        <f t="shared" si="4"/>
        <v>6873.5259999999998</v>
      </c>
      <c r="BI33" s="77">
        <f t="shared" si="4"/>
        <v>6800.4380000000001</v>
      </c>
      <c r="BJ33" s="77">
        <f t="shared" si="4"/>
        <v>6840.7219999999998</v>
      </c>
      <c r="BK33" s="77">
        <f t="shared" si="4"/>
        <v>6871.0020000000004</v>
      </c>
      <c r="BL33" s="77">
        <f t="shared" si="4"/>
        <v>6930.8209999999999</v>
      </c>
      <c r="BM33" s="77">
        <f t="shared" si="4"/>
        <v>6918.951</v>
      </c>
      <c r="BN33" s="77">
        <f t="shared" si="4"/>
        <v>7141.7290000000003</v>
      </c>
      <c r="BO33" s="77">
        <f t="shared" ref="BO33:CW33" si="5">SUM(BO30:BO32)</f>
        <v>7270.2430000000004</v>
      </c>
      <c r="BP33" s="77">
        <f t="shared" si="5"/>
        <v>7422.3140000000003</v>
      </c>
      <c r="BQ33" s="77">
        <f t="shared" si="5"/>
        <v>7553.8429999999998</v>
      </c>
      <c r="BR33" s="77">
        <f t="shared" si="5"/>
        <v>7741.7979999999998</v>
      </c>
      <c r="BS33" s="77">
        <f t="shared" si="5"/>
        <v>7834.9989999999998</v>
      </c>
      <c r="BT33" s="77">
        <f t="shared" si="5"/>
        <v>7899.9660000000003</v>
      </c>
      <c r="BU33" s="77">
        <f t="shared" si="5"/>
        <v>7930.732</v>
      </c>
      <c r="BV33" s="77">
        <f t="shared" si="5"/>
        <v>7900.2020000000002</v>
      </c>
      <c r="BW33" s="77">
        <f t="shared" si="5"/>
        <v>7905.674</v>
      </c>
      <c r="BX33" s="77">
        <f t="shared" si="5"/>
        <v>7949.2489999999998</v>
      </c>
      <c r="BY33" s="77">
        <f t="shared" si="5"/>
        <v>7947.93</v>
      </c>
      <c r="BZ33" s="77">
        <f t="shared" si="5"/>
        <v>7904.2820000000002</v>
      </c>
      <c r="CA33" s="77">
        <f t="shared" si="5"/>
        <v>7888.6980000000003</v>
      </c>
      <c r="CB33" s="77">
        <f t="shared" si="5"/>
        <v>7815.8950000000004</v>
      </c>
      <c r="CC33" s="77">
        <f t="shared" si="5"/>
        <v>7697.3159999999998</v>
      </c>
      <c r="CD33" s="77">
        <f t="shared" si="5"/>
        <v>7645.076</v>
      </c>
      <c r="CE33" s="77">
        <f t="shared" si="5"/>
        <v>7573.1130000000003</v>
      </c>
      <c r="CF33" s="77">
        <f t="shared" si="5"/>
        <v>7494.0990000000002</v>
      </c>
      <c r="CG33" s="77">
        <f t="shared" si="5"/>
        <v>7454.05</v>
      </c>
      <c r="CH33" s="77">
        <f t="shared" si="5"/>
        <v>7316.6750000000002</v>
      </c>
      <c r="CI33" s="77">
        <f t="shared" si="5"/>
        <v>7242.0810000000001</v>
      </c>
      <c r="CJ33" s="77">
        <f t="shared" si="5"/>
        <v>7209.3440000000001</v>
      </c>
      <c r="CK33" s="77">
        <f t="shared" si="5"/>
        <v>7137.2449999999999</v>
      </c>
      <c r="CL33" s="77">
        <f t="shared" si="5"/>
        <v>6982.1440000000002</v>
      </c>
      <c r="CM33" s="77">
        <f t="shared" si="5"/>
        <v>6811.817</v>
      </c>
      <c r="CN33" s="77">
        <f t="shared" si="5"/>
        <v>6778.9279999999999</v>
      </c>
      <c r="CO33" s="77">
        <f t="shared" si="5"/>
        <v>6655.1109999999999</v>
      </c>
      <c r="CP33" s="77">
        <f t="shared" si="5"/>
        <v>6427.4560000000001</v>
      </c>
      <c r="CQ33" s="77">
        <f t="shared" si="5"/>
        <v>6278.3280000000004</v>
      </c>
      <c r="CR33" s="77">
        <f t="shared" si="5"/>
        <v>6143.8559999999998</v>
      </c>
      <c r="CS33" s="77">
        <f t="shared" si="5"/>
        <v>6017.28</v>
      </c>
      <c r="CT33" s="78">
        <f t="shared" si="5"/>
        <v>0</v>
      </c>
      <c r="CU33" s="78">
        <f t="shared" si="5"/>
        <v>0</v>
      </c>
      <c r="CV33" s="78">
        <f t="shared" si="5"/>
        <v>0</v>
      </c>
      <c r="CW33" s="79">
        <f t="shared" si="5"/>
        <v>0</v>
      </c>
      <c r="CX33" s="80">
        <f>SUM(CX30:CX32)</f>
        <v>162039.88475000003</v>
      </c>
    </row>
    <row r="34" spans="1:102" ht="18" customHeight="1" thickBot="1" x14ac:dyDescent="0.25">
      <c r="A34" s="81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4"/>
    </row>
    <row r="35" spans="1:102" ht="30" customHeight="1" thickBot="1" x14ac:dyDescent="0.25">
      <c r="A35" s="85" t="s">
        <v>42</v>
      </c>
      <c r="B35" s="111">
        <v>1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3"/>
    </row>
    <row r="36" spans="1:102" ht="24.95" customHeight="1" x14ac:dyDescent="0.2">
      <c r="A36" s="86" t="s">
        <v>43</v>
      </c>
      <c r="B36" s="114">
        <v>195</v>
      </c>
      <c r="C36" s="115">
        <v>195</v>
      </c>
      <c r="D36" s="115">
        <v>195</v>
      </c>
      <c r="E36" s="115">
        <v>195</v>
      </c>
      <c r="F36" s="115">
        <v>195</v>
      </c>
      <c r="G36" s="115">
        <v>195</v>
      </c>
      <c r="H36" s="115">
        <v>195</v>
      </c>
      <c r="I36" s="115">
        <v>195</v>
      </c>
      <c r="J36" s="115">
        <v>195</v>
      </c>
      <c r="K36" s="115">
        <v>195</v>
      </c>
      <c r="L36" s="115">
        <v>195</v>
      </c>
      <c r="M36" s="115">
        <v>195</v>
      </c>
      <c r="N36" s="115">
        <v>195</v>
      </c>
      <c r="O36" s="115">
        <v>195</v>
      </c>
      <c r="P36" s="115">
        <v>195</v>
      </c>
      <c r="Q36" s="115">
        <v>195</v>
      </c>
      <c r="R36" s="115">
        <v>195</v>
      </c>
      <c r="S36" s="115">
        <v>195</v>
      </c>
      <c r="T36" s="115">
        <v>195</v>
      </c>
      <c r="U36" s="115">
        <v>195</v>
      </c>
      <c r="V36" s="115">
        <v>195</v>
      </c>
      <c r="W36" s="115">
        <v>195</v>
      </c>
      <c r="X36" s="115">
        <v>195</v>
      </c>
      <c r="Y36" s="115">
        <v>195</v>
      </c>
      <c r="Z36" s="115">
        <v>179</v>
      </c>
      <c r="AA36" s="115">
        <v>179</v>
      </c>
      <c r="AB36" s="115">
        <v>179</v>
      </c>
      <c r="AC36" s="115">
        <v>179</v>
      </c>
      <c r="AD36" s="115">
        <v>178</v>
      </c>
      <c r="AE36" s="115">
        <v>178</v>
      </c>
      <c r="AF36" s="115">
        <v>178</v>
      </c>
      <c r="AG36" s="115">
        <v>178</v>
      </c>
      <c r="AH36" s="115">
        <v>200</v>
      </c>
      <c r="AI36" s="115">
        <v>200</v>
      </c>
      <c r="AJ36" s="115">
        <v>200</v>
      </c>
      <c r="AK36" s="115">
        <v>200</v>
      </c>
      <c r="AL36" s="115">
        <v>200</v>
      </c>
      <c r="AM36" s="115">
        <v>200</v>
      </c>
      <c r="AN36" s="115">
        <v>200</v>
      </c>
      <c r="AO36" s="115">
        <v>200</v>
      </c>
      <c r="AP36" s="115">
        <v>200</v>
      </c>
      <c r="AQ36" s="115">
        <v>200</v>
      </c>
      <c r="AR36" s="115">
        <v>200</v>
      </c>
      <c r="AS36" s="115">
        <v>200</v>
      </c>
      <c r="AT36" s="115">
        <v>200</v>
      </c>
      <c r="AU36" s="115">
        <v>200</v>
      </c>
      <c r="AV36" s="115">
        <v>200</v>
      </c>
      <c r="AW36" s="115">
        <v>200</v>
      </c>
      <c r="AX36" s="115">
        <v>200</v>
      </c>
      <c r="AY36" s="115">
        <v>200</v>
      </c>
      <c r="AZ36" s="115">
        <v>200</v>
      </c>
      <c r="BA36" s="115">
        <v>200</v>
      </c>
      <c r="BB36" s="115">
        <v>200</v>
      </c>
      <c r="BC36" s="115">
        <v>200</v>
      </c>
      <c r="BD36" s="115">
        <v>200</v>
      </c>
      <c r="BE36" s="115">
        <v>200</v>
      </c>
      <c r="BF36" s="115">
        <v>200</v>
      </c>
      <c r="BG36" s="115">
        <v>200</v>
      </c>
      <c r="BH36" s="115">
        <v>200</v>
      </c>
      <c r="BI36" s="115">
        <v>200</v>
      </c>
      <c r="BJ36" s="115">
        <v>192</v>
      </c>
      <c r="BK36" s="115">
        <v>192</v>
      </c>
      <c r="BL36" s="115">
        <v>192</v>
      </c>
      <c r="BM36" s="115">
        <v>192</v>
      </c>
      <c r="BN36" s="115">
        <v>176</v>
      </c>
      <c r="BO36" s="115">
        <v>176</v>
      </c>
      <c r="BP36" s="115">
        <v>176</v>
      </c>
      <c r="BQ36" s="115">
        <v>176</v>
      </c>
      <c r="BR36" s="115">
        <v>209</v>
      </c>
      <c r="BS36" s="115">
        <v>209</v>
      </c>
      <c r="BT36" s="115">
        <v>209</v>
      </c>
      <c r="BU36" s="115">
        <v>209</v>
      </c>
      <c r="BV36" s="115">
        <v>209</v>
      </c>
      <c r="BW36" s="115">
        <v>209</v>
      </c>
      <c r="BX36" s="115">
        <v>209</v>
      </c>
      <c r="BY36" s="115">
        <v>209</v>
      </c>
      <c r="BZ36" s="115">
        <v>209</v>
      </c>
      <c r="CA36" s="115">
        <v>209</v>
      </c>
      <c r="CB36" s="115">
        <v>209</v>
      </c>
      <c r="CC36" s="115">
        <v>209</v>
      </c>
      <c r="CD36" s="115">
        <v>176</v>
      </c>
      <c r="CE36" s="115">
        <v>176</v>
      </c>
      <c r="CF36" s="115">
        <v>176</v>
      </c>
      <c r="CG36" s="115">
        <v>176</v>
      </c>
      <c r="CH36" s="115">
        <v>188</v>
      </c>
      <c r="CI36" s="115">
        <v>188</v>
      </c>
      <c r="CJ36" s="115">
        <v>188</v>
      </c>
      <c r="CK36" s="115">
        <v>188</v>
      </c>
      <c r="CL36" s="115">
        <v>192</v>
      </c>
      <c r="CM36" s="115">
        <v>192</v>
      </c>
      <c r="CN36" s="115">
        <v>192</v>
      </c>
      <c r="CO36" s="115">
        <v>192</v>
      </c>
      <c r="CP36" s="115">
        <v>192</v>
      </c>
      <c r="CQ36" s="115">
        <v>192</v>
      </c>
      <c r="CR36" s="115">
        <v>192</v>
      </c>
      <c r="CS36" s="115">
        <v>192</v>
      </c>
      <c r="CT36" s="116"/>
      <c r="CU36" s="116"/>
      <c r="CV36" s="116"/>
      <c r="CW36" s="117"/>
      <c r="CX36" s="91">
        <f t="array" ref="CX36">SUMPRODUCT(B36:CW36*0.25)</f>
        <v>4670</v>
      </c>
    </row>
    <row r="37" spans="1:102" ht="24.95" customHeight="1" x14ac:dyDescent="0.2">
      <c r="A37" s="118" t="s">
        <v>44</v>
      </c>
      <c r="B37" s="119">
        <v>460</v>
      </c>
      <c r="C37" s="120">
        <v>460</v>
      </c>
      <c r="D37" s="120">
        <v>460</v>
      </c>
      <c r="E37" s="120">
        <v>460</v>
      </c>
      <c r="F37" s="120">
        <v>464</v>
      </c>
      <c r="G37" s="120">
        <v>464</v>
      </c>
      <c r="H37" s="120">
        <v>464</v>
      </c>
      <c r="I37" s="120">
        <v>464</v>
      </c>
      <c r="J37" s="120">
        <v>457</v>
      </c>
      <c r="K37" s="120">
        <v>457</v>
      </c>
      <c r="L37" s="120">
        <v>457</v>
      </c>
      <c r="M37" s="120">
        <v>457</v>
      </c>
      <c r="N37" s="120">
        <v>463</v>
      </c>
      <c r="O37" s="120">
        <v>463</v>
      </c>
      <c r="P37" s="120">
        <v>463</v>
      </c>
      <c r="Q37" s="120">
        <v>463</v>
      </c>
      <c r="R37" s="120">
        <v>429</v>
      </c>
      <c r="S37" s="120">
        <v>429</v>
      </c>
      <c r="T37" s="120">
        <v>429</v>
      </c>
      <c r="U37" s="120">
        <v>429</v>
      </c>
      <c r="V37" s="120">
        <v>393</v>
      </c>
      <c r="W37" s="120">
        <v>393</v>
      </c>
      <c r="X37" s="120">
        <v>393</v>
      </c>
      <c r="Y37" s="120">
        <v>393</v>
      </c>
      <c r="Z37" s="120">
        <v>352</v>
      </c>
      <c r="AA37" s="120">
        <v>352</v>
      </c>
      <c r="AB37" s="120">
        <v>352</v>
      </c>
      <c r="AC37" s="120">
        <v>352</v>
      </c>
      <c r="AD37" s="120">
        <v>321</v>
      </c>
      <c r="AE37" s="120">
        <v>321</v>
      </c>
      <c r="AF37" s="120">
        <v>321</v>
      </c>
      <c r="AG37" s="120">
        <v>321</v>
      </c>
      <c r="AH37" s="120">
        <v>326</v>
      </c>
      <c r="AI37" s="120">
        <v>326</v>
      </c>
      <c r="AJ37" s="120">
        <v>326</v>
      </c>
      <c r="AK37" s="120">
        <v>326</v>
      </c>
      <c r="AL37" s="120">
        <v>316</v>
      </c>
      <c r="AM37" s="120">
        <v>316</v>
      </c>
      <c r="AN37" s="120">
        <v>316</v>
      </c>
      <c r="AO37" s="120">
        <v>316</v>
      </c>
      <c r="AP37" s="120">
        <v>324</v>
      </c>
      <c r="AQ37" s="120">
        <v>324</v>
      </c>
      <c r="AR37" s="120">
        <v>324</v>
      </c>
      <c r="AS37" s="120">
        <v>324</v>
      </c>
      <c r="AT37" s="120">
        <v>301</v>
      </c>
      <c r="AU37" s="120">
        <v>301</v>
      </c>
      <c r="AV37" s="120">
        <v>301</v>
      </c>
      <c r="AW37" s="120">
        <v>301</v>
      </c>
      <c r="AX37" s="120">
        <v>313</v>
      </c>
      <c r="AY37" s="120">
        <v>313</v>
      </c>
      <c r="AZ37" s="120">
        <v>313</v>
      </c>
      <c r="BA37" s="120">
        <v>313</v>
      </c>
      <c r="BB37" s="120">
        <v>382</v>
      </c>
      <c r="BC37" s="120">
        <v>382</v>
      </c>
      <c r="BD37" s="120">
        <v>382</v>
      </c>
      <c r="BE37" s="120">
        <v>382</v>
      </c>
      <c r="BF37" s="120">
        <v>445</v>
      </c>
      <c r="BG37" s="120">
        <v>445</v>
      </c>
      <c r="BH37" s="120">
        <v>445</v>
      </c>
      <c r="BI37" s="120">
        <v>445</v>
      </c>
      <c r="BJ37" s="120">
        <v>443</v>
      </c>
      <c r="BK37" s="120">
        <v>443</v>
      </c>
      <c r="BL37" s="120">
        <v>443</v>
      </c>
      <c r="BM37" s="120">
        <v>443</v>
      </c>
      <c r="BN37" s="120">
        <v>402</v>
      </c>
      <c r="BO37" s="120">
        <v>402</v>
      </c>
      <c r="BP37" s="120">
        <v>402</v>
      </c>
      <c r="BQ37" s="120">
        <v>402</v>
      </c>
      <c r="BR37" s="120">
        <v>405</v>
      </c>
      <c r="BS37" s="120">
        <v>405</v>
      </c>
      <c r="BT37" s="120">
        <v>405</v>
      </c>
      <c r="BU37" s="120">
        <v>405</v>
      </c>
      <c r="BV37" s="120">
        <v>394</v>
      </c>
      <c r="BW37" s="120">
        <v>394</v>
      </c>
      <c r="BX37" s="120">
        <v>394</v>
      </c>
      <c r="BY37" s="120">
        <v>394</v>
      </c>
      <c r="BZ37" s="120">
        <v>384</v>
      </c>
      <c r="CA37" s="120">
        <v>384</v>
      </c>
      <c r="CB37" s="120">
        <v>384</v>
      </c>
      <c r="CC37" s="120">
        <v>384</v>
      </c>
      <c r="CD37" s="120">
        <v>411</v>
      </c>
      <c r="CE37" s="120">
        <v>411</v>
      </c>
      <c r="CF37" s="120">
        <v>411</v>
      </c>
      <c r="CG37" s="120">
        <v>411</v>
      </c>
      <c r="CH37" s="120">
        <v>441</v>
      </c>
      <c r="CI37" s="120">
        <v>441</v>
      </c>
      <c r="CJ37" s="120">
        <v>441</v>
      </c>
      <c r="CK37" s="120">
        <v>441</v>
      </c>
      <c r="CL37" s="120">
        <v>470</v>
      </c>
      <c r="CM37" s="120">
        <v>470</v>
      </c>
      <c r="CN37" s="120">
        <v>470</v>
      </c>
      <c r="CO37" s="120">
        <v>470</v>
      </c>
      <c r="CP37" s="120">
        <v>448</v>
      </c>
      <c r="CQ37" s="120">
        <v>448</v>
      </c>
      <c r="CR37" s="120">
        <v>448</v>
      </c>
      <c r="CS37" s="120">
        <v>448</v>
      </c>
      <c r="CT37" s="120"/>
      <c r="CU37" s="120"/>
      <c r="CV37" s="120"/>
      <c r="CW37" s="121"/>
      <c r="CX37" s="97">
        <f t="array" ref="CX37">SUMPRODUCT(B37:CW37*0.25)</f>
        <v>9544</v>
      </c>
    </row>
    <row r="38" spans="1:102" ht="24.95" customHeight="1" x14ac:dyDescent="0.2">
      <c r="A38" s="118" t="s">
        <v>45</v>
      </c>
      <c r="B38" s="119">
        <v>537.70000000000005</v>
      </c>
      <c r="C38" s="120">
        <v>545.6</v>
      </c>
      <c r="D38" s="120">
        <v>304.3</v>
      </c>
      <c r="E38" s="120">
        <v>40.200000000000003</v>
      </c>
      <c r="F38" s="120">
        <v>502.3</v>
      </c>
      <c r="G38" s="120">
        <v>277.5</v>
      </c>
      <c r="H38" s="120">
        <v>196.6</v>
      </c>
      <c r="I38" s="120">
        <v>168.3</v>
      </c>
      <c r="J38" s="120">
        <v>240</v>
      </c>
      <c r="K38" s="120">
        <v>24.7</v>
      </c>
      <c r="L38" s="120">
        <v>11</v>
      </c>
      <c r="M38" s="120">
        <v>11</v>
      </c>
      <c r="N38" s="120">
        <v>11</v>
      </c>
      <c r="O38" s="120">
        <v>11</v>
      </c>
      <c r="P38" s="120">
        <v>11</v>
      </c>
      <c r="Q38" s="120">
        <v>11</v>
      </c>
      <c r="R38" s="120">
        <v>11</v>
      </c>
      <c r="S38" s="120">
        <v>11</v>
      </c>
      <c r="T38" s="120">
        <v>11</v>
      </c>
      <c r="U38" s="120">
        <v>11</v>
      </c>
      <c r="V38" s="120">
        <v>11</v>
      </c>
      <c r="W38" s="120">
        <v>11</v>
      </c>
      <c r="X38" s="120">
        <v>11</v>
      </c>
      <c r="Y38" s="120">
        <v>11</v>
      </c>
      <c r="Z38" s="120">
        <v>11</v>
      </c>
      <c r="AA38" s="120">
        <v>11</v>
      </c>
      <c r="AB38" s="120">
        <v>11</v>
      </c>
      <c r="AC38" s="120">
        <v>11</v>
      </c>
      <c r="AD38" s="120">
        <v>11</v>
      </c>
      <c r="AE38" s="120">
        <v>11</v>
      </c>
      <c r="AF38" s="120">
        <v>11</v>
      </c>
      <c r="AG38" s="120">
        <v>11</v>
      </c>
      <c r="AH38" s="120">
        <v>11</v>
      </c>
      <c r="AI38" s="120">
        <v>72.599999999999994</v>
      </c>
      <c r="AJ38" s="120">
        <v>470</v>
      </c>
      <c r="AK38" s="120">
        <v>750.3</v>
      </c>
      <c r="AL38" s="120">
        <v>551.6</v>
      </c>
      <c r="AM38" s="120">
        <v>675.1</v>
      </c>
      <c r="AN38" s="120">
        <v>644.29999999999995</v>
      </c>
      <c r="AO38" s="120">
        <v>788.1</v>
      </c>
      <c r="AP38" s="120">
        <v>789.4</v>
      </c>
      <c r="AQ38" s="120">
        <v>800.1</v>
      </c>
      <c r="AR38" s="120">
        <v>847.5</v>
      </c>
      <c r="AS38" s="120">
        <v>828</v>
      </c>
      <c r="AT38" s="120">
        <v>848.2</v>
      </c>
      <c r="AU38" s="120">
        <v>729.8</v>
      </c>
      <c r="AV38" s="120">
        <v>664.3</v>
      </c>
      <c r="AW38" s="120">
        <v>615.1</v>
      </c>
      <c r="AX38" s="120">
        <v>586.5</v>
      </c>
      <c r="AY38" s="120">
        <v>499.3</v>
      </c>
      <c r="AZ38" s="120">
        <v>409.2</v>
      </c>
      <c r="BA38" s="120">
        <v>299.7</v>
      </c>
      <c r="BB38" s="120">
        <v>246.2</v>
      </c>
      <c r="BC38" s="120">
        <v>30.7</v>
      </c>
      <c r="BD38" s="120">
        <v>12.7</v>
      </c>
      <c r="BE38" s="120">
        <v>11</v>
      </c>
      <c r="BF38" s="120">
        <v>11</v>
      </c>
      <c r="BG38" s="120">
        <v>11</v>
      </c>
      <c r="BH38" s="120">
        <v>11</v>
      </c>
      <c r="BI38" s="120">
        <v>11</v>
      </c>
      <c r="BJ38" s="120">
        <v>11</v>
      </c>
      <c r="BK38" s="120">
        <v>11</v>
      </c>
      <c r="BL38" s="120">
        <v>11</v>
      </c>
      <c r="BM38" s="120">
        <v>11</v>
      </c>
      <c r="BN38" s="120">
        <v>11</v>
      </c>
      <c r="BO38" s="120">
        <v>11</v>
      </c>
      <c r="BP38" s="120">
        <v>11</v>
      </c>
      <c r="BQ38" s="120">
        <v>11</v>
      </c>
      <c r="BR38" s="120">
        <v>11</v>
      </c>
      <c r="BS38" s="120">
        <v>11</v>
      </c>
      <c r="BT38" s="120">
        <v>11</v>
      </c>
      <c r="BU38" s="120">
        <v>11</v>
      </c>
      <c r="BV38" s="120">
        <v>11</v>
      </c>
      <c r="BW38" s="120">
        <v>11</v>
      </c>
      <c r="BX38" s="120">
        <v>11</v>
      </c>
      <c r="BY38" s="120">
        <v>11</v>
      </c>
      <c r="BZ38" s="120">
        <v>11</v>
      </c>
      <c r="CA38" s="120">
        <v>11</v>
      </c>
      <c r="CB38" s="120">
        <v>11</v>
      </c>
      <c r="CC38" s="120">
        <v>11</v>
      </c>
      <c r="CD38" s="120">
        <v>11</v>
      </c>
      <c r="CE38" s="120">
        <v>11</v>
      </c>
      <c r="CF38" s="120">
        <v>11</v>
      </c>
      <c r="CG38" s="120">
        <v>11</v>
      </c>
      <c r="CH38" s="120">
        <v>11</v>
      </c>
      <c r="CI38" s="120">
        <v>11</v>
      </c>
      <c r="CJ38" s="120">
        <v>11</v>
      </c>
      <c r="CK38" s="120">
        <v>11</v>
      </c>
      <c r="CL38" s="120">
        <v>11</v>
      </c>
      <c r="CM38" s="120">
        <v>11</v>
      </c>
      <c r="CN38" s="120">
        <v>11</v>
      </c>
      <c r="CO38" s="120">
        <v>11</v>
      </c>
      <c r="CP38" s="120">
        <v>11</v>
      </c>
      <c r="CQ38" s="120">
        <v>11</v>
      </c>
      <c r="CR38" s="120">
        <v>11</v>
      </c>
      <c r="CS38" s="120">
        <v>11</v>
      </c>
      <c r="CT38" s="122"/>
      <c r="CU38" s="122"/>
      <c r="CV38" s="122"/>
      <c r="CW38" s="121"/>
      <c r="CX38" s="97">
        <f t="array" ref="CX38">SUMPRODUCT(B38:CW38*0.25)</f>
        <v>3924.9750000000008</v>
      </c>
    </row>
    <row r="39" spans="1:102" ht="24.95" customHeight="1" x14ac:dyDescent="0.2">
      <c r="A39" s="118" t="s">
        <v>46</v>
      </c>
      <c r="B39" s="11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>
        <v>30</v>
      </c>
      <c r="AI39" s="120">
        <v>30</v>
      </c>
      <c r="AJ39" s="120">
        <v>30</v>
      </c>
      <c r="AK39" s="120">
        <v>30</v>
      </c>
      <c r="AL39" s="120">
        <v>173</v>
      </c>
      <c r="AM39" s="120">
        <v>173</v>
      </c>
      <c r="AN39" s="120">
        <v>173</v>
      </c>
      <c r="AO39" s="120">
        <v>173</v>
      </c>
      <c r="AP39" s="120">
        <v>173</v>
      </c>
      <c r="AQ39" s="120">
        <v>173</v>
      </c>
      <c r="AR39" s="120">
        <v>173</v>
      </c>
      <c r="AS39" s="120">
        <v>173</v>
      </c>
      <c r="AT39" s="120">
        <v>173</v>
      </c>
      <c r="AU39" s="120">
        <v>173</v>
      </c>
      <c r="AV39" s="120">
        <v>173</v>
      </c>
      <c r="AW39" s="120">
        <v>173</v>
      </c>
      <c r="AX39" s="120">
        <v>173</v>
      </c>
      <c r="AY39" s="120">
        <v>173</v>
      </c>
      <c r="AZ39" s="120">
        <v>173</v>
      </c>
      <c r="BA39" s="120">
        <v>173</v>
      </c>
      <c r="BB39" s="120">
        <v>173</v>
      </c>
      <c r="BC39" s="120">
        <v>173</v>
      </c>
      <c r="BD39" s="120">
        <v>173</v>
      </c>
      <c r="BE39" s="120">
        <v>173</v>
      </c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2"/>
      <c r="CU39" s="122"/>
      <c r="CV39" s="122"/>
      <c r="CW39" s="121"/>
      <c r="CX39" s="97">
        <f t="array" ref="CX39">SUMPRODUCT(B39:CW39*0.25)</f>
        <v>895</v>
      </c>
    </row>
    <row r="40" spans="1:102" ht="24.95" customHeight="1" x14ac:dyDescent="0.2">
      <c r="A40" s="118" t="s">
        <v>47</v>
      </c>
      <c r="B40" s="119">
        <v>500</v>
      </c>
      <c r="C40" s="120">
        <v>500</v>
      </c>
      <c r="D40" s="120">
        <v>500</v>
      </c>
      <c r="E40" s="120">
        <v>500</v>
      </c>
      <c r="F40" s="120">
        <v>500</v>
      </c>
      <c r="G40" s="120">
        <v>500</v>
      </c>
      <c r="H40" s="120">
        <v>500</v>
      </c>
      <c r="I40" s="120">
        <v>500</v>
      </c>
      <c r="J40" s="120">
        <v>500</v>
      </c>
      <c r="K40" s="120">
        <v>500</v>
      </c>
      <c r="L40" s="120">
        <v>500</v>
      </c>
      <c r="M40" s="120">
        <v>500</v>
      </c>
      <c r="N40" s="120">
        <v>500</v>
      </c>
      <c r="O40" s="120">
        <v>500</v>
      </c>
      <c r="P40" s="120">
        <v>500</v>
      </c>
      <c r="Q40" s="120">
        <v>500</v>
      </c>
      <c r="R40" s="120">
        <v>500</v>
      </c>
      <c r="S40" s="120">
        <v>500</v>
      </c>
      <c r="T40" s="120">
        <v>500</v>
      </c>
      <c r="U40" s="120">
        <v>500</v>
      </c>
      <c r="V40" s="120">
        <v>500</v>
      </c>
      <c r="W40" s="120">
        <v>500</v>
      </c>
      <c r="X40" s="120">
        <v>500</v>
      </c>
      <c r="Y40" s="120">
        <v>500</v>
      </c>
      <c r="Z40" s="120">
        <v>500</v>
      </c>
      <c r="AA40" s="120">
        <v>500</v>
      </c>
      <c r="AB40" s="120">
        <v>500</v>
      </c>
      <c r="AC40" s="120">
        <v>500</v>
      </c>
      <c r="AD40" s="120">
        <v>500</v>
      </c>
      <c r="AE40" s="120">
        <v>500</v>
      </c>
      <c r="AF40" s="120">
        <v>500</v>
      </c>
      <c r="AG40" s="120">
        <v>500</v>
      </c>
      <c r="AH40" s="120">
        <v>500</v>
      </c>
      <c r="AI40" s="120">
        <v>500</v>
      </c>
      <c r="AJ40" s="120">
        <v>500</v>
      </c>
      <c r="AK40" s="120">
        <v>500</v>
      </c>
      <c r="AL40" s="120">
        <v>500</v>
      </c>
      <c r="AM40" s="120">
        <v>500</v>
      </c>
      <c r="AN40" s="120">
        <v>500</v>
      </c>
      <c r="AO40" s="120">
        <v>500</v>
      </c>
      <c r="AP40" s="120">
        <v>500</v>
      </c>
      <c r="AQ40" s="120">
        <v>500</v>
      </c>
      <c r="AR40" s="120">
        <v>500</v>
      </c>
      <c r="AS40" s="120">
        <v>500</v>
      </c>
      <c r="AT40" s="120">
        <v>500</v>
      </c>
      <c r="AU40" s="120">
        <v>500</v>
      </c>
      <c r="AV40" s="120">
        <v>500</v>
      </c>
      <c r="AW40" s="120">
        <v>500</v>
      </c>
      <c r="AX40" s="120">
        <v>500</v>
      </c>
      <c r="AY40" s="120">
        <v>500</v>
      </c>
      <c r="AZ40" s="120">
        <v>500</v>
      </c>
      <c r="BA40" s="120">
        <v>500</v>
      </c>
      <c r="BB40" s="120">
        <v>500</v>
      </c>
      <c r="BC40" s="120">
        <v>500</v>
      </c>
      <c r="BD40" s="120">
        <v>500</v>
      </c>
      <c r="BE40" s="120">
        <v>500</v>
      </c>
      <c r="BF40" s="120">
        <v>500</v>
      </c>
      <c r="BG40" s="120">
        <v>500</v>
      </c>
      <c r="BH40" s="120">
        <v>500</v>
      </c>
      <c r="BI40" s="120">
        <v>500</v>
      </c>
      <c r="BJ40" s="120">
        <v>500</v>
      </c>
      <c r="BK40" s="120">
        <v>500</v>
      </c>
      <c r="BL40" s="120">
        <v>500</v>
      </c>
      <c r="BM40" s="120">
        <v>500</v>
      </c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>
        <v>500</v>
      </c>
      <c r="CQ40" s="120">
        <v>500</v>
      </c>
      <c r="CR40" s="120">
        <v>500</v>
      </c>
      <c r="CS40" s="120">
        <v>500</v>
      </c>
      <c r="CT40" s="122"/>
      <c r="CU40" s="122"/>
      <c r="CV40" s="122"/>
      <c r="CW40" s="121"/>
      <c r="CX40" s="97">
        <f t="array" ref="CX40">SUMPRODUCT(B40:CW40*0.25)</f>
        <v>8500</v>
      </c>
    </row>
    <row r="41" spans="1:102" ht="30" customHeight="1" thickBot="1" x14ac:dyDescent="0.25">
      <c r="A41" s="105" t="s">
        <v>48</v>
      </c>
      <c r="B41" s="106">
        <f>SUM(B36:B40)</f>
        <v>1692.7</v>
      </c>
      <c r="C41" s="107">
        <f t="shared" ref="C41:BN41" si="6">SUM(C36:C40)</f>
        <v>1700.6</v>
      </c>
      <c r="D41" s="107">
        <f t="shared" si="6"/>
        <v>1459.3</v>
      </c>
      <c r="E41" s="107">
        <f t="shared" si="6"/>
        <v>1195.2</v>
      </c>
      <c r="F41" s="107">
        <f t="shared" si="6"/>
        <v>1661.3</v>
      </c>
      <c r="G41" s="107">
        <f t="shared" si="6"/>
        <v>1436.5</v>
      </c>
      <c r="H41" s="107">
        <f t="shared" si="6"/>
        <v>1355.6</v>
      </c>
      <c r="I41" s="107">
        <f t="shared" si="6"/>
        <v>1327.3</v>
      </c>
      <c r="J41" s="107">
        <f t="shared" si="6"/>
        <v>1392</v>
      </c>
      <c r="K41" s="107">
        <f t="shared" si="6"/>
        <v>1176.7</v>
      </c>
      <c r="L41" s="107">
        <f t="shared" si="6"/>
        <v>1163</v>
      </c>
      <c r="M41" s="107">
        <f t="shared" si="6"/>
        <v>1163</v>
      </c>
      <c r="N41" s="107">
        <f t="shared" si="6"/>
        <v>1169</v>
      </c>
      <c r="O41" s="107">
        <f t="shared" si="6"/>
        <v>1169</v>
      </c>
      <c r="P41" s="107">
        <f t="shared" si="6"/>
        <v>1169</v>
      </c>
      <c r="Q41" s="107">
        <f t="shared" si="6"/>
        <v>1169</v>
      </c>
      <c r="R41" s="107">
        <f t="shared" si="6"/>
        <v>1135</v>
      </c>
      <c r="S41" s="107">
        <f t="shared" si="6"/>
        <v>1135</v>
      </c>
      <c r="T41" s="107">
        <f t="shared" si="6"/>
        <v>1135</v>
      </c>
      <c r="U41" s="107">
        <f t="shared" si="6"/>
        <v>1135</v>
      </c>
      <c r="V41" s="107">
        <f t="shared" si="6"/>
        <v>1099</v>
      </c>
      <c r="W41" s="107">
        <f t="shared" si="6"/>
        <v>1099</v>
      </c>
      <c r="X41" s="107">
        <f t="shared" si="6"/>
        <v>1099</v>
      </c>
      <c r="Y41" s="107">
        <f t="shared" si="6"/>
        <v>1099</v>
      </c>
      <c r="Z41" s="107">
        <f t="shared" si="6"/>
        <v>1042</v>
      </c>
      <c r="AA41" s="107">
        <f t="shared" si="6"/>
        <v>1042</v>
      </c>
      <c r="AB41" s="107">
        <f t="shared" si="6"/>
        <v>1042</v>
      </c>
      <c r="AC41" s="107">
        <f t="shared" si="6"/>
        <v>1042</v>
      </c>
      <c r="AD41" s="107">
        <f t="shared" si="6"/>
        <v>1010</v>
      </c>
      <c r="AE41" s="107">
        <f t="shared" si="6"/>
        <v>1010</v>
      </c>
      <c r="AF41" s="107">
        <f t="shared" si="6"/>
        <v>1010</v>
      </c>
      <c r="AG41" s="107">
        <f t="shared" si="6"/>
        <v>1010</v>
      </c>
      <c r="AH41" s="107">
        <f t="shared" si="6"/>
        <v>1067</v>
      </c>
      <c r="AI41" s="107">
        <f t="shared" si="6"/>
        <v>1128.5999999999999</v>
      </c>
      <c r="AJ41" s="107">
        <f t="shared" si="6"/>
        <v>1526</v>
      </c>
      <c r="AK41" s="107">
        <f t="shared" si="6"/>
        <v>1806.3</v>
      </c>
      <c r="AL41" s="107">
        <f t="shared" si="6"/>
        <v>1740.6</v>
      </c>
      <c r="AM41" s="107">
        <f t="shared" si="6"/>
        <v>1864.1</v>
      </c>
      <c r="AN41" s="107">
        <f t="shared" si="6"/>
        <v>1833.3</v>
      </c>
      <c r="AO41" s="107">
        <f t="shared" si="6"/>
        <v>1977.1</v>
      </c>
      <c r="AP41" s="107">
        <f t="shared" si="6"/>
        <v>1986.4</v>
      </c>
      <c r="AQ41" s="107">
        <f t="shared" si="6"/>
        <v>1997.1</v>
      </c>
      <c r="AR41" s="107">
        <f t="shared" si="6"/>
        <v>2044.5</v>
      </c>
      <c r="AS41" s="107">
        <f t="shared" si="6"/>
        <v>2025</v>
      </c>
      <c r="AT41" s="107">
        <f t="shared" si="6"/>
        <v>2022.2</v>
      </c>
      <c r="AU41" s="107">
        <f t="shared" si="6"/>
        <v>1903.8</v>
      </c>
      <c r="AV41" s="107">
        <f t="shared" si="6"/>
        <v>1838.3</v>
      </c>
      <c r="AW41" s="107">
        <f t="shared" si="6"/>
        <v>1789.1</v>
      </c>
      <c r="AX41" s="107">
        <f t="shared" si="6"/>
        <v>1772.5</v>
      </c>
      <c r="AY41" s="107">
        <f t="shared" si="6"/>
        <v>1685.3</v>
      </c>
      <c r="AZ41" s="107">
        <f t="shared" si="6"/>
        <v>1595.2</v>
      </c>
      <c r="BA41" s="107">
        <f t="shared" si="6"/>
        <v>1485.7</v>
      </c>
      <c r="BB41" s="107">
        <f t="shared" si="6"/>
        <v>1501.2</v>
      </c>
      <c r="BC41" s="107">
        <f t="shared" si="6"/>
        <v>1285.7</v>
      </c>
      <c r="BD41" s="107">
        <f t="shared" si="6"/>
        <v>1267.7</v>
      </c>
      <c r="BE41" s="107">
        <f t="shared" si="6"/>
        <v>1266</v>
      </c>
      <c r="BF41" s="107">
        <f t="shared" si="6"/>
        <v>1156</v>
      </c>
      <c r="BG41" s="107">
        <f t="shared" si="6"/>
        <v>1156</v>
      </c>
      <c r="BH41" s="107">
        <f t="shared" si="6"/>
        <v>1156</v>
      </c>
      <c r="BI41" s="107">
        <f t="shared" si="6"/>
        <v>1156</v>
      </c>
      <c r="BJ41" s="107">
        <f t="shared" si="6"/>
        <v>1146</v>
      </c>
      <c r="BK41" s="107">
        <f t="shared" si="6"/>
        <v>1146</v>
      </c>
      <c r="BL41" s="107">
        <f t="shared" si="6"/>
        <v>1146</v>
      </c>
      <c r="BM41" s="107">
        <f t="shared" si="6"/>
        <v>1146</v>
      </c>
      <c r="BN41" s="107">
        <f t="shared" si="6"/>
        <v>589</v>
      </c>
      <c r="BO41" s="107">
        <f t="shared" ref="BO41:CW41" si="7">SUM(BO36:BO40)</f>
        <v>589</v>
      </c>
      <c r="BP41" s="107">
        <f t="shared" si="7"/>
        <v>589</v>
      </c>
      <c r="BQ41" s="107">
        <f t="shared" si="7"/>
        <v>589</v>
      </c>
      <c r="BR41" s="107">
        <f t="shared" si="7"/>
        <v>625</v>
      </c>
      <c r="BS41" s="107">
        <f t="shared" si="7"/>
        <v>625</v>
      </c>
      <c r="BT41" s="107">
        <f t="shared" si="7"/>
        <v>625</v>
      </c>
      <c r="BU41" s="107">
        <f t="shared" si="7"/>
        <v>625</v>
      </c>
      <c r="BV41" s="107">
        <f t="shared" si="7"/>
        <v>614</v>
      </c>
      <c r="BW41" s="107">
        <f t="shared" si="7"/>
        <v>614</v>
      </c>
      <c r="BX41" s="107">
        <f t="shared" si="7"/>
        <v>614</v>
      </c>
      <c r="BY41" s="107">
        <f t="shared" si="7"/>
        <v>614</v>
      </c>
      <c r="BZ41" s="107">
        <f t="shared" si="7"/>
        <v>604</v>
      </c>
      <c r="CA41" s="107">
        <f t="shared" si="7"/>
        <v>604</v>
      </c>
      <c r="CB41" s="107">
        <f t="shared" si="7"/>
        <v>604</v>
      </c>
      <c r="CC41" s="107">
        <f t="shared" si="7"/>
        <v>604</v>
      </c>
      <c r="CD41" s="107">
        <f t="shared" si="7"/>
        <v>598</v>
      </c>
      <c r="CE41" s="107">
        <f t="shared" si="7"/>
        <v>598</v>
      </c>
      <c r="CF41" s="107">
        <f t="shared" si="7"/>
        <v>598</v>
      </c>
      <c r="CG41" s="107">
        <f t="shared" si="7"/>
        <v>598</v>
      </c>
      <c r="CH41" s="107">
        <f t="shared" si="7"/>
        <v>640</v>
      </c>
      <c r="CI41" s="107">
        <f t="shared" si="7"/>
        <v>640</v>
      </c>
      <c r="CJ41" s="107">
        <f t="shared" si="7"/>
        <v>640</v>
      </c>
      <c r="CK41" s="107">
        <f t="shared" si="7"/>
        <v>640</v>
      </c>
      <c r="CL41" s="107">
        <f t="shared" si="7"/>
        <v>673</v>
      </c>
      <c r="CM41" s="107">
        <f t="shared" si="7"/>
        <v>673</v>
      </c>
      <c r="CN41" s="107">
        <f t="shared" si="7"/>
        <v>673</v>
      </c>
      <c r="CO41" s="107">
        <f t="shared" si="7"/>
        <v>673</v>
      </c>
      <c r="CP41" s="107">
        <f t="shared" si="7"/>
        <v>1151</v>
      </c>
      <c r="CQ41" s="107">
        <f t="shared" si="7"/>
        <v>1151</v>
      </c>
      <c r="CR41" s="107">
        <f t="shared" si="7"/>
        <v>1151</v>
      </c>
      <c r="CS41" s="107">
        <f t="shared" si="7"/>
        <v>1151</v>
      </c>
      <c r="CT41" s="108">
        <f t="shared" si="7"/>
        <v>0</v>
      </c>
      <c r="CU41" s="108">
        <f t="shared" si="7"/>
        <v>0</v>
      </c>
      <c r="CV41" s="108">
        <f t="shared" si="7"/>
        <v>0</v>
      </c>
      <c r="CW41" s="109">
        <f t="shared" si="7"/>
        <v>0</v>
      </c>
      <c r="CX41" s="110">
        <f>SUM(CX36:CX40)</f>
        <v>27533.975000000002</v>
      </c>
    </row>
    <row r="42" spans="1:102" ht="18" customHeight="1" thickBot="1" x14ac:dyDescent="0.25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5"/>
    </row>
    <row r="43" spans="1:102" ht="30" customHeight="1" thickBot="1" x14ac:dyDescent="0.25">
      <c r="A43" s="85" t="s">
        <v>49</v>
      </c>
      <c r="B43" s="111">
        <v>1</v>
      </c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3"/>
    </row>
    <row r="44" spans="1:102" ht="24.95" customHeight="1" x14ac:dyDescent="0.2">
      <c r="A44" s="86" t="s">
        <v>43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6"/>
      <c r="CU44" s="116"/>
      <c r="CV44" s="116"/>
      <c r="CW44" s="117"/>
      <c r="CX44" s="91">
        <f t="array" ref="CX44">SUMPRODUCT(B44:CW44*0.25)</f>
        <v>0</v>
      </c>
    </row>
    <row r="45" spans="1:102" ht="24.95" customHeight="1" x14ac:dyDescent="0.2">
      <c r="A45" s="118" t="s">
        <v>44</v>
      </c>
      <c r="B45" s="11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0"/>
      <c r="CR45" s="120"/>
      <c r="CS45" s="120"/>
      <c r="CT45" s="120"/>
      <c r="CU45" s="120"/>
      <c r="CV45" s="120"/>
      <c r="CW45" s="121"/>
      <c r="CX45" s="97">
        <f t="array" ref="CX45">SUMPRODUCT(B45:CW45*0.25)</f>
        <v>0</v>
      </c>
    </row>
    <row r="46" spans="1:102" ht="24.95" customHeight="1" x14ac:dyDescent="0.2">
      <c r="A46" s="118" t="s">
        <v>45</v>
      </c>
      <c r="B46" s="119">
        <v>526.70000000000005</v>
      </c>
      <c r="C46" s="120">
        <v>534.6</v>
      </c>
      <c r="D46" s="120">
        <v>293.3</v>
      </c>
      <c r="E46" s="120">
        <v>29.2</v>
      </c>
      <c r="F46" s="120">
        <v>491.3</v>
      </c>
      <c r="G46" s="120">
        <v>266.5</v>
      </c>
      <c r="H46" s="120">
        <v>185.6</v>
      </c>
      <c r="I46" s="120">
        <v>157.30000000000001</v>
      </c>
      <c r="J46" s="120">
        <v>229</v>
      </c>
      <c r="K46" s="120">
        <v>13.7</v>
      </c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>
        <v>61.6</v>
      </c>
      <c r="AJ46" s="120">
        <v>459</v>
      </c>
      <c r="AK46" s="120">
        <v>739.3</v>
      </c>
      <c r="AL46" s="120">
        <v>540.6</v>
      </c>
      <c r="AM46" s="120">
        <v>664.1</v>
      </c>
      <c r="AN46" s="120">
        <v>633.29999999999995</v>
      </c>
      <c r="AO46" s="120">
        <v>777.1</v>
      </c>
      <c r="AP46" s="120">
        <v>778.4</v>
      </c>
      <c r="AQ46" s="120">
        <v>789.1</v>
      </c>
      <c r="AR46" s="120">
        <v>836.5</v>
      </c>
      <c r="AS46" s="120">
        <v>817</v>
      </c>
      <c r="AT46" s="120">
        <v>837.2</v>
      </c>
      <c r="AU46" s="120">
        <v>718.8</v>
      </c>
      <c r="AV46" s="120">
        <v>653.29999999999995</v>
      </c>
      <c r="AW46" s="120">
        <v>604.1</v>
      </c>
      <c r="AX46" s="120">
        <v>575.5</v>
      </c>
      <c r="AY46" s="120">
        <v>488.3</v>
      </c>
      <c r="AZ46" s="120">
        <v>398.2</v>
      </c>
      <c r="BA46" s="120">
        <v>288.7</v>
      </c>
      <c r="BB46" s="120">
        <v>235.2</v>
      </c>
      <c r="BC46" s="120">
        <v>19.7</v>
      </c>
      <c r="BD46" s="120">
        <v>1.7</v>
      </c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0"/>
      <c r="CR46" s="120"/>
      <c r="CS46" s="120"/>
      <c r="CT46" s="122"/>
      <c r="CU46" s="122"/>
      <c r="CV46" s="122"/>
      <c r="CW46" s="121"/>
      <c r="CX46" s="97">
        <f t="array" ref="CX46">SUMPRODUCT(B46:CW46*0.25)</f>
        <v>3660.9750000000008</v>
      </c>
    </row>
    <row r="47" spans="1:102" ht="24.95" customHeight="1" x14ac:dyDescent="0.2">
      <c r="A47" s="118" t="s">
        <v>46</v>
      </c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2"/>
      <c r="CU47" s="122"/>
      <c r="CV47" s="122"/>
      <c r="CW47" s="121"/>
      <c r="CX47" s="97">
        <f t="array" ref="CX47">SUMPRODUCT(B47:CW47*0.25)</f>
        <v>0</v>
      </c>
    </row>
    <row r="48" spans="1:102" ht="24.95" customHeight="1" x14ac:dyDescent="0.2">
      <c r="A48" s="118" t="s">
        <v>47</v>
      </c>
      <c r="B48" s="119">
        <v>500</v>
      </c>
      <c r="C48" s="120">
        <v>500</v>
      </c>
      <c r="D48" s="120">
        <v>500</v>
      </c>
      <c r="E48" s="120">
        <v>500</v>
      </c>
      <c r="F48" s="120">
        <v>500</v>
      </c>
      <c r="G48" s="120">
        <v>500</v>
      </c>
      <c r="H48" s="120">
        <v>500</v>
      </c>
      <c r="I48" s="120">
        <v>500</v>
      </c>
      <c r="J48" s="120">
        <v>500</v>
      </c>
      <c r="K48" s="120">
        <v>500</v>
      </c>
      <c r="L48" s="120">
        <v>500</v>
      </c>
      <c r="M48" s="120">
        <v>500</v>
      </c>
      <c r="N48" s="120">
        <v>500</v>
      </c>
      <c r="O48" s="120">
        <v>500</v>
      </c>
      <c r="P48" s="120">
        <v>500</v>
      </c>
      <c r="Q48" s="120">
        <v>500</v>
      </c>
      <c r="R48" s="120">
        <v>500</v>
      </c>
      <c r="S48" s="120">
        <v>500</v>
      </c>
      <c r="T48" s="120">
        <v>500</v>
      </c>
      <c r="U48" s="120">
        <v>500</v>
      </c>
      <c r="V48" s="120">
        <v>500</v>
      </c>
      <c r="W48" s="120">
        <v>500</v>
      </c>
      <c r="X48" s="120">
        <v>500</v>
      </c>
      <c r="Y48" s="120">
        <v>500</v>
      </c>
      <c r="Z48" s="120">
        <v>500</v>
      </c>
      <c r="AA48" s="120">
        <v>500</v>
      </c>
      <c r="AB48" s="120">
        <v>500</v>
      </c>
      <c r="AC48" s="120">
        <v>500</v>
      </c>
      <c r="AD48" s="120">
        <v>500</v>
      </c>
      <c r="AE48" s="120">
        <v>500</v>
      </c>
      <c r="AF48" s="120">
        <v>500</v>
      </c>
      <c r="AG48" s="120">
        <v>500</v>
      </c>
      <c r="AH48" s="120">
        <v>500</v>
      </c>
      <c r="AI48" s="120">
        <v>500</v>
      </c>
      <c r="AJ48" s="120">
        <v>500</v>
      </c>
      <c r="AK48" s="120">
        <v>500</v>
      </c>
      <c r="AL48" s="120">
        <v>500</v>
      </c>
      <c r="AM48" s="120">
        <v>500</v>
      </c>
      <c r="AN48" s="120">
        <v>500</v>
      </c>
      <c r="AO48" s="120">
        <v>500</v>
      </c>
      <c r="AP48" s="120">
        <v>500</v>
      </c>
      <c r="AQ48" s="120">
        <v>500</v>
      </c>
      <c r="AR48" s="120">
        <v>500</v>
      </c>
      <c r="AS48" s="120">
        <v>500</v>
      </c>
      <c r="AT48" s="120">
        <v>500</v>
      </c>
      <c r="AU48" s="120">
        <v>500</v>
      </c>
      <c r="AV48" s="120">
        <v>500</v>
      </c>
      <c r="AW48" s="120">
        <v>500</v>
      </c>
      <c r="AX48" s="120">
        <v>500</v>
      </c>
      <c r="AY48" s="120">
        <v>500</v>
      </c>
      <c r="AZ48" s="120">
        <v>500</v>
      </c>
      <c r="BA48" s="120">
        <v>500</v>
      </c>
      <c r="BB48" s="120">
        <v>500</v>
      </c>
      <c r="BC48" s="120">
        <v>500</v>
      </c>
      <c r="BD48" s="120">
        <v>500</v>
      </c>
      <c r="BE48" s="120">
        <v>500</v>
      </c>
      <c r="BF48" s="120">
        <v>500</v>
      </c>
      <c r="BG48" s="120">
        <v>500</v>
      </c>
      <c r="BH48" s="120">
        <v>500</v>
      </c>
      <c r="BI48" s="120">
        <v>500</v>
      </c>
      <c r="BJ48" s="120">
        <v>500</v>
      </c>
      <c r="BK48" s="120">
        <v>500</v>
      </c>
      <c r="BL48" s="120">
        <v>500</v>
      </c>
      <c r="BM48" s="120">
        <v>500</v>
      </c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>
        <v>500</v>
      </c>
      <c r="CQ48" s="120">
        <v>500</v>
      </c>
      <c r="CR48" s="120">
        <v>500</v>
      </c>
      <c r="CS48" s="120">
        <v>500</v>
      </c>
      <c r="CT48" s="122"/>
      <c r="CU48" s="122"/>
      <c r="CV48" s="122"/>
      <c r="CW48" s="121"/>
      <c r="CX48" s="97">
        <f t="array" ref="CX48">SUMPRODUCT(B48:CW48*0.25)</f>
        <v>8500</v>
      </c>
    </row>
    <row r="49" spans="1:102" ht="24.95" customHeight="1" x14ac:dyDescent="0.2">
      <c r="A49" s="104" t="s">
        <v>50</v>
      </c>
      <c r="B49" s="119">
        <v>191</v>
      </c>
      <c r="C49" s="120">
        <v>191</v>
      </c>
      <c r="D49" s="120">
        <v>191</v>
      </c>
      <c r="E49" s="120">
        <v>191</v>
      </c>
      <c r="F49" s="120">
        <v>167</v>
      </c>
      <c r="G49" s="120">
        <v>167</v>
      </c>
      <c r="H49" s="120">
        <v>167</v>
      </c>
      <c r="I49" s="120">
        <v>167</v>
      </c>
      <c r="J49" s="120">
        <v>147</v>
      </c>
      <c r="K49" s="120">
        <v>147</v>
      </c>
      <c r="L49" s="120">
        <v>147</v>
      </c>
      <c r="M49" s="120">
        <v>147</v>
      </c>
      <c r="N49" s="120">
        <v>129</v>
      </c>
      <c r="O49" s="120">
        <v>129</v>
      </c>
      <c r="P49" s="120">
        <v>129</v>
      </c>
      <c r="Q49" s="120">
        <v>129</v>
      </c>
      <c r="R49" s="120">
        <v>122</v>
      </c>
      <c r="S49" s="120">
        <v>122</v>
      </c>
      <c r="T49" s="120">
        <v>122</v>
      </c>
      <c r="U49" s="120">
        <v>122</v>
      </c>
      <c r="V49" s="120">
        <v>132</v>
      </c>
      <c r="W49" s="120">
        <v>132</v>
      </c>
      <c r="X49" s="120">
        <v>132</v>
      </c>
      <c r="Y49" s="120">
        <v>132</v>
      </c>
      <c r="Z49" s="120">
        <v>157</v>
      </c>
      <c r="AA49" s="120">
        <v>157</v>
      </c>
      <c r="AB49" s="120">
        <v>157</v>
      </c>
      <c r="AC49" s="120">
        <v>157</v>
      </c>
      <c r="AD49" s="120">
        <v>181</v>
      </c>
      <c r="AE49" s="120">
        <v>181</v>
      </c>
      <c r="AF49" s="120">
        <v>181</v>
      </c>
      <c r="AG49" s="120">
        <v>181</v>
      </c>
      <c r="AH49" s="120">
        <v>170</v>
      </c>
      <c r="AI49" s="120">
        <v>170</v>
      </c>
      <c r="AJ49" s="120">
        <v>170</v>
      </c>
      <c r="AK49" s="120">
        <v>170</v>
      </c>
      <c r="AL49" s="120">
        <v>150</v>
      </c>
      <c r="AM49" s="120">
        <v>150</v>
      </c>
      <c r="AN49" s="120">
        <v>150</v>
      </c>
      <c r="AO49" s="120">
        <v>150</v>
      </c>
      <c r="AP49" s="120">
        <v>133</v>
      </c>
      <c r="AQ49" s="120">
        <v>133</v>
      </c>
      <c r="AR49" s="120">
        <v>133</v>
      </c>
      <c r="AS49" s="120">
        <v>133</v>
      </c>
      <c r="AT49" s="120">
        <v>125</v>
      </c>
      <c r="AU49" s="120">
        <v>125</v>
      </c>
      <c r="AV49" s="120">
        <v>125</v>
      </c>
      <c r="AW49" s="120">
        <v>125</v>
      </c>
      <c r="AX49" s="120">
        <v>121</v>
      </c>
      <c r="AY49" s="120">
        <v>121</v>
      </c>
      <c r="AZ49" s="120">
        <v>121</v>
      </c>
      <c r="BA49" s="120">
        <v>121</v>
      </c>
      <c r="BB49" s="120">
        <v>122</v>
      </c>
      <c r="BC49" s="120">
        <v>122</v>
      </c>
      <c r="BD49" s="120">
        <v>122</v>
      </c>
      <c r="BE49" s="120">
        <v>122</v>
      </c>
      <c r="BF49" s="120">
        <v>142</v>
      </c>
      <c r="BG49" s="120">
        <v>142</v>
      </c>
      <c r="BH49" s="120">
        <v>142</v>
      </c>
      <c r="BI49" s="120">
        <v>142</v>
      </c>
      <c r="BJ49" s="120">
        <v>182</v>
      </c>
      <c r="BK49" s="120">
        <v>182</v>
      </c>
      <c r="BL49" s="120">
        <v>182</v>
      </c>
      <c r="BM49" s="120">
        <v>182</v>
      </c>
      <c r="BN49" s="120">
        <v>240</v>
      </c>
      <c r="BO49" s="120">
        <v>240</v>
      </c>
      <c r="BP49" s="120">
        <v>240</v>
      </c>
      <c r="BQ49" s="120">
        <v>240</v>
      </c>
      <c r="BR49" s="120">
        <v>275</v>
      </c>
      <c r="BS49" s="120">
        <v>275</v>
      </c>
      <c r="BT49" s="120">
        <v>275</v>
      </c>
      <c r="BU49" s="120">
        <v>275</v>
      </c>
      <c r="BV49" s="120">
        <v>279</v>
      </c>
      <c r="BW49" s="120">
        <v>279</v>
      </c>
      <c r="BX49" s="120">
        <v>279</v>
      </c>
      <c r="BY49" s="120">
        <v>279</v>
      </c>
      <c r="BZ49" s="120">
        <v>268</v>
      </c>
      <c r="CA49" s="120">
        <v>268</v>
      </c>
      <c r="CB49" s="120">
        <v>268</v>
      </c>
      <c r="CC49" s="120">
        <v>268</v>
      </c>
      <c r="CD49" s="120">
        <v>242</v>
      </c>
      <c r="CE49" s="120">
        <v>242</v>
      </c>
      <c r="CF49" s="120">
        <v>242</v>
      </c>
      <c r="CG49" s="120">
        <v>242</v>
      </c>
      <c r="CH49" s="120">
        <v>218</v>
      </c>
      <c r="CI49" s="120">
        <v>218</v>
      </c>
      <c r="CJ49" s="120">
        <v>218</v>
      </c>
      <c r="CK49" s="120">
        <v>218</v>
      </c>
      <c r="CL49" s="120">
        <v>198</v>
      </c>
      <c r="CM49" s="120">
        <v>198</v>
      </c>
      <c r="CN49" s="120">
        <v>198</v>
      </c>
      <c r="CO49" s="120">
        <v>198</v>
      </c>
      <c r="CP49" s="120">
        <v>175</v>
      </c>
      <c r="CQ49" s="120">
        <v>175</v>
      </c>
      <c r="CR49" s="120">
        <v>175</v>
      </c>
      <c r="CS49" s="120">
        <v>175</v>
      </c>
      <c r="CT49" s="122"/>
      <c r="CU49" s="122"/>
      <c r="CV49" s="122"/>
      <c r="CW49" s="121"/>
      <c r="CX49" s="97">
        <f t="array" ref="CX49">SUMPRODUCT(B49:CW49*0.25)</f>
        <v>4266</v>
      </c>
    </row>
    <row r="50" spans="1:102" ht="30" customHeight="1" thickBot="1" x14ac:dyDescent="0.25">
      <c r="A50" s="105" t="s">
        <v>51</v>
      </c>
      <c r="B50" s="106">
        <f>SUM(B44:B49)</f>
        <v>1217.7</v>
      </c>
      <c r="C50" s="107">
        <f t="shared" ref="C50:BN50" si="8">SUM(C44:C49)</f>
        <v>1225.5999999999999</v>
      </c>
      <c r="D50" s="107">
        <f t="shared" si="8"/>
        <v>984.3</v>
      </c>
      <c r="E50" s="107">
        <f t="shared" si="8"/>
        <v>720.2</v>
      </c>
      <c r="F50" s="107">
        <f t="shared" si="8"/>
        <v>1158.3</v>
      </c>
      <c r="G50" s="107">
        <f t="shared" si="8"/>
        <v>933.5</v>
      </c>
      <c r="H50" s="107">
        <f t="shared" si="8"/>
        <v>852.6</v>
      </c>
      <c r="I50" s="107">
        <f t="shared" si="8"/>
        <v>824.3</v>
      </c>
      <c r="J50" s="107">
        <f t="shared" si="8"/>
        <v>876</v>
      </c>
      <c r="K50" s="107">
        <f t="shared" si="8"/>
        <v>660.7</v>
      </c>
      <c r="L50" s="107">
        <f t="shared" si="8"/>
        <v>647</v>
      </c>
      <c r="M50" s="107">
        <f t="shared" si="8"/>
        <v>647</v>
      </c>
      <c r="N50" s="107">
        <f t="shared" si="8"/>
        <v>629</v>
      </c>
      <c r="O50" s="107">
        <f t="shared" si="8"/>
        <v>629</v>
      </c>
      <c r="P50" s="107">
        <f t="shared" si="8"/>
        <v>629</v>
      </c>
      <c r="Q50" s="107">
        <f t="shared" si="8"/>
        <v>629</v>
      </c>
      <c r="R50" s="107">
        <f t="shared" si="8"/>
        <v>622</v>
      </c>
      <c r="S50" s="107">
        <f t="shared" si="8"/>
        <v>622</v>
      </c>
      <c r="T50" s="107">
        <f t="shared" si="8"/>
        <v>622</v>
      </c>
      <c r="U50" s="107">
        <f t="shared" si="8"/>
        <v>622</v>
      </c>
      <c r="V50" s="107">
        <f t="shared" si="8"/>
        <v>632</v>
      </c>
      <c r="W50" s="107">
        <f t="shared" si="8"/>
        <v>632</v>
      </c>
      <c r="X50" s="107">
        <f t="shared" si="8"/>
        <v>632</v>
      </c>
      <c r="Y50" s="107">
        <f t="shared" si="8"/>
        <v>632</v>
      </c>
      <c r="Z50" s="107">
        <f t="shared" si="8"/>
        <v>657</v>
      </c>
      <c r="AA50" s="107">
        <f t="shared" si="8"/>
        <v>657</v>
      </c>
      <c r="AB50" s="107">
        <f t="shared" si="8"/>
        <v>657</v>
      </c>
      <c r="AC50" s="107">
        <f t="shared" si="8"/>
        <v>657</v>
      </c>
      <c r="AD50" s="107">
        <f t="shared" si="8"/>
        <v>681</v>
      </c>
      <c r="AE50" s="107">
        <f t="shared" si="8"/>
        <v>681</v>
      </c>
      <c r="AF50" s="107">
        <f t="shared" si="8"/>
        <v>681</v>
      </c>
      <c r="AG50" s="107">
        <f t="shared" si="8"/>
        <v>681</v>
      </c>
      <c r="AH50" s="107">
        <f t="shared" si="8"/>
        <v>670</v>
      </c>
      <c r="AI50" s="107">
        <f t="shared" si="8"/>
        <v>731.6</v>
      </c>
      <c r="AJ50" s="107">
        <f t="shared" si="8"/>
        <v>1129</v>
      </c>
      <c r="AK50" s="107">
        <f t="shared" si="8"/>
        <v>1409.3</v>
      </c>
      <c r="AL50" s="107">
        <f t="shared" si="8"/>
        <v>1190.5999999999999</v>
      </c>
      <c r="AM50" s="107">
        <f t="shared" si="8"/>
        <v>1314.1</v>
      </c>
      <c r="AN50" s="107">
        <f t="shared" si="8"/>
        <v>1283.3</v>
      </c>
      <c r="AO50" s="107">
        <f t="shared" si="8"/>
        <v>1427.1</v>
      </c>
      <c r="AP50" s="107">
        <f t="shared" si="8"/>
        <v>1411.4</v>
      </c>
      <c r="AQ50" s="107">
        <f t="shared" si="8"/>
        <v>1422.1</v>
      </c>
      <c r="AR50" s="107">
        <f t="shared" si="8"/>
        <v>1469.5</v>
      </c>
      <c r="AS50" s="107">
        <f t="shared" si="8"/>
        <v>1450</v>
      </c>
      <c r="AT50" s="107">
        <f t="shared" si="8"/>
        <v>1462.2</v>
      </c>
      <c r="AU50" s="107">
        <f t="shared" si="8"/>
        <v>1343.8</v>
      </c>
      <c r="AV50" s="107">
        <f t="shared" si="8"/>
        <v>1278.3</v>
      </c>
      <c r="AW50" s="107">
        <f t="shared" si="8"/>
        <v>1229.0999999999999</v>
      </c>
      <c r="AX50" s="107">
        <f t="shared" si="8"/>
        <v>1196.5</v>
      </c>
      <c r="AY50" s="107">
        <f t="shared" si="8"/>
        <v>1109.3</v>
      </c>
      <c r="AZ50" s="107">
        <f t="shared" si="8"/>
        <v>1019.2</v>
      </c>
      <c r="BA50" s="107">
        <f t="shared" si="8"/>
        <v>909.7</v>
      </c>
      <c r="BB50" s="107">
        <f t="shared" si="8"/>
        <v>857.2</v>
      </c>
      <c r="BC50" s="107">
        <f t="shared" si="8"/>
        <v>641.70000000000005</v>
      </c>
      <c r="BD50" s="107">
        <f t="shared" si="8"/>
        <v>623.70000000000005</v>
      </c>
      <c r="BE50" s="107">
        <f t="shared" si="8"/>
        <v>622</v>
      </c>
      <c r="BF50" s="107">
        <f t="shared" si="8"/>
        <v>642</v>
      </c>
      <c r="BG50" s="107">
        <f t="shared" si="8"/>
        <v>642</v>
      </c>
      <c r="BH50" s="107">
        <f t="shared" si="8"/>
        <v>642</v>
      </c>
      <c r="BI50" s="107">
        <f t="shared" si="8"/>
        <v>642</v>
      </c>
      <c r="BJ50" s="107">
        <f t="shared" si="8"/>
        <v>682</v>
      </c>
      <c r="BK50" s="107">
        <f t="shared" si="8"/>
        <v>682</v>
      </c>
      <c r="BL50" s="107">
        <f t="shared" si="8"/>
        <v>682</v>
      </c>
      <c r="BM50" s="107">
        <f t="shared" si="8"/>
        <v>682</v>
      </c>
      <c r="BN50" s="107">
        <f t="shared" si="8"/>
        <v>240</v>
      </c>
      <c r="BO50" s="107">
        <f t="shared" ref="BO50:CW50" si="9">SUM(BO44:BO49)</f>
        <v>240</v>
      </c>
      <c r="BP50" s="107">
        <f t="shared" si="9"/>
        <v>240</v>
      </c>
      <c r="BQ50" s="107">
        <f t="shared" si="9"/>
        <v>240</v>
      </c>
      <c r="BR50" s="107">
        <f t="shared" si="9"/>
        <v>275</v>
      </c>
      <c r="BS50" s="107">
        <f t="shared" si="9"/>
        <v>275</v>
      </c>
      <c r="BT50" s="107">
        <f t="shared" si="9"/>
        <v>275</v>
      </c>
      <c r="BU50" s="107">
        <f t="shared" si="9"/>
        <v>275</v>
      </c>
      <c r="BV50" s="107">
        <f t="shared" si="9"/>
        <v>279</v>
      </c>
      <c r="BW50" s="107">
        <f t="shared" si="9"/>
        <v>279</v>
      </c>
      <c r="BX50" s="107">
        <f t="shared" si="9"/>
        <v>279</v>
      </c>
      <c r="BY50" s="107">
        <f t="shared" si="9"/>
        <v>279</v>
      </c>
      <c r="BZ50" s="107">
        <f t="shared" si="9"/>
        <v>268</v>
      </c>
      <c r="CA50" s="107">
        <f t="shared" si="9"/>
        <v>268</v>
      </c>
      <c r="CB50" s="107">
        <f t="shared" si="9"/>
        <v>268</v>
      </c>
      <c r="CC50" s="107">
        <f t="shared" si="9"/>
        <v>268</v>
      </c>
      <c r="CD50" s="107">
        <f t="shared" si="9"/>
        <v>242</v>
      </c>
      <c r="CE50" s="107">
        <f t="shared" si="9"/>
        <v>242</v>
      </c>
      <c r="CF50" s="107">
        <f t="shared" si="9"/>
        <v>242</v>
      </c>
      <c r="CG50" s="107">
        <f t="shared" si="9"/>
        <v>242</v>
      </c>
      <c r="CH50" s="107">
        <f t="shared" si="9"/>
        <v>218</v>
      </c>
      <c r="CI50" s="107">
        <f t="shared" si="9"/>
        <v>218</v>
      </c>
      <c r="CJ50" s="107">
        <f t="shared" si="9"/>
        <v>218</v>
      </c>
      <c r="CK50" s="107">
        <f t="shared" si="9"/>
        <v>218</v>
      </c>
      <c r="CL50" s="107">
        <f t="shared" si="9"/>
        <v>198</v>
      </c>
      <c r="CM50" s="107">
        <f t="shared" si="9"/>
        <v>198</v>
      </c>
      <c r="CN50" s="107">
        <f t="shared" si="9"/>
        <v>198</v>
      </c>
      <c r="CO50" s="107">
        <f t="shared" si="9"/>
        <v>198</v>
      </c>
      <c r="CP50" s="107">
        <f t="shared" si="9"/>
        <v>675</v>
      </c>
      <c r="CQ50" s="107">
        <f t="shared" si="9"/>
        <v>675</v>
      </c>
      <c r="CR50" s="107">
        <f t="shared" si="9"/>
        <v>675</v>
      </c>
      <c r="CS50" s="107">
        <f t="shared" si="9"/>
        <v>675</v>
      </c>
      <c r="CT50" s="108">
        <f t="shared" si="9"/>
        <v>0</v>
      </c>
      <c r="CU50" s="108">
        <f t="shared" si="9"/>
        <v>0</v>
      </c>
      <c r="CV50" s="108">
        <f t="shared" si="9"/>
        <v>0</v>
      </c>
      <c r="CW50" s="109">
        <f t="shared" si="9"/>
        <v>0</v>
      </c>
      <c r="CX50" s="110">
        <f>SUM(CX44:CX49)</f>
        <v>16426.974999999999</v>
      </c>
    </row>
    <row r="51" spans="1:102" ht="15.95" customHeight="1" thickBot="1" x14ac:dyDescent="0.25"/>
    <row r="52" spans="1:102" ht="30" customHeight="1" thickBot="1" x14ac:dyDescent="0.25">
      <c r="A52" s="85"/>
      <c r="B52" s="11">
        <f>IF(LEN(B$3)&gt;0,B$3,"")</f>
        <v>1</v>
      </c>
      <c r="C52" s="12">
        <f t="shared" ref="C52:BN52" si="10">IF(LEN(C$3)&gt;0,C$3,"")</f>
        <v>2</v>
      </c>
      <c r="D52" s="12">
        <f t="shared" si="10"/>
        <v>3</v>
      </c>
      <c r="E52" s="12">
        <f t="shared" si="10"/>
        <v>4</v>
      </c>
      <c r="F52" s="12">
        <f t="shared" si="10"/>
        <v>5</v>
      </c>
      <c r="G52" s="12">
        <f t="shared" si="10"/>
        <v>6</v>
      </c>
      <c r="H52" s="12">
        <f t="shared" si="10"/>
        <v>7</v>
      </c>
      <c r="I52" s="12">
        <f t="shared" si="10"/>
        <v>8</v>
      </c>
      <c r="J52" s="12">
        <f t="shared" si="10"/>
        <v>9</v>
      </c>
      <c r="K52" s="12">
        <f t="shared" si="10"/>
        <v>10</v>
      </c>
      <c r="L52" s="12">
        <f t="shared" si="10"/>
        <v>11</v>
      </c>
      <c r="M52" s="12">
        <f t="shared" si="10"/>
        <v>12</v>
      </c>
      <c r="N52" s="12">
        <f t="shared" si="10"/>
        <v>13</v>
      </c>
      <c r="O52" s="12">
        <f t="shared" si="10"/>
        <v>14</v>
      </c>
      <c r="P52" s="12">
        <f t="shared" si="10"/>
        <v>15</v>
      </c>
      <c r="Q52" s="12">
        <f t="shared" si="10"/>
        <v>16</v>
      </c>
      <c r="R52" s="12">
        <f t="shared" si="10"/>
        <v>17</v>
      </c>
      <c r="S52" s="12">
        <f t="shared" si="10"/>
        <v>18</v>
      </c>
      <c r="T52" s="12">
        <f t="shared" si="10"/>
        <v>19</v>
      </c>
      <c r="U52" s="12">
        <f t="shared" si="10"/>
        <v>20</v>
      </c>
      <c r="V52" s="12">
        <f t="shared" si="10"/>
        <v>21</v>
      </c>
      <c r="W52" s="12">
        <f t="shared" si="10"/>
        <v>22</v>
      </c>
      <c r="X52" s="12">
        <f t="shared" si="10"/>
        <v>23</v>
      </c>
      <c r="Y52" s="12">
        <f t="shared" si="10"/>
        <v>24</v>
      </c>
      <c r="Z52" s="12">
        <f t="shared" si="10"/>
        <v>25</v>
      </c>
      <c r="AA52" s="12">
        <f t="shared" si="10"/>
        <v>26</v>
      </c>
      <c r="AB52" s="12">
        <f t="shared" si="10"/>
        <v>27</v>
      </c>
      <c r="AC52" s="12">
        <f t="shared" si="10"/>
        <v>28</v>
      </c>
      <c r="AD52" s="12">
        <f t="shared" si="10"/>
        <v>29</v>
      </c>
      <c r="AE52" s="12">
        <f t="shared" si="10"/>
        <v>30</v>
      </c>
      <c r="AF52" s="12">
        <f t="shared" si="10"/>
        <v>31</v>
      </c>
      <c r="AG52" s="12">
        <f t="shared" si="10"/>
        <v>32</v>
      </c>
      <c r="AH52" s="12">
        <f t="shared" si="10"/>
        <v>33</v>
      </c>
      <c r="AI52" s="12">
        <f t="shared" si="10"/>
        <v>34</v>
      </c>
      <c r="AJ52" s="12">
        <f t="shared" si="10"/>
        <v>35</v>
      </c>
      <c r="AK52" s="12">
        <f t="shared" si="10"/>
        <v>36</v>
      </c>
      <c r="AL52" s="12">
        <f t="shared" si="10"/>
        <v>37</v>
      </c>
      <c r="AM52" s="12">
        <f t="shared" si="10"/>
        <v>38</v>
      </c>
      <c r="AN52" s="12">
        <f t="shared" si="10"/>
        <v>39</v>
      </c>
      <c r="AO52" s="12">
        <f t="shared" si="10"/>
        <v>40</v>
      </c>
      <c r="AP52" s="12">
        <f t="shared" si="10"/>
        <v>41</v>
      </c>
      <c r="AQ52" s="12">
        <f t="shared" si="10"/>
        <v>42</v>
      </c>
      <c r="AR52" s="12">
        <f t="shared" si="10"/>
        <v>43</v>
      </c>
      <c r="AS52" s="12">
        <f t="shared" si="10"/>
        <v>44</v>
      </c>
      <c r="AT52" s="12">
        <f t="shared" si="10"/>
        <v>45</v>
      </c>
      <c r="AU52" s="12">
        <f t="shared" si="10"/>
        <v>46</v>
      </c>
      <c r="AV52" s="12">
        <f t="shared" si="10"/>
        <v>47</v>
      </c>
      <c r="AW52" s="12">
        <f t="shared" si="10"/>
        <v>48</v>
      </c>
      <c r="AX52" s="12">
        <f t="shared" si="10"/>
        <v>49</v>
      </c>
      <c r="AY52" s="12">
        <f t="shared" si="10"/>
        <v>50</v>
      </c>
      <c r="AZ52" s="12">
        <f t="shared" si="10"/>
        <v>51</v>
      </c>
      <c r="BA52" s="12">
        <f t="shared" si="10"/>
        <v>52</v>
      </c>
      <c r="BB52" s="12">
        <f t="shared" si="10"/>
        <v>53</v>
      </c>
      <c r="BC52" s="12">
        <f t="shared" si="10"/>
        <v>54</v>
      </c>
      <c r="BD52" s="12">
        <f t="shared" si="10"/>
        <v>55</v>
      </c>
      <c r="BE52" s="12">
        <f t="shared" si="10"/>
        <v>56</v>
      </c>
      <c r="BF52" s="12">
        <f t="shared" si="10"/>
        <v>57</v>
      </c>
      <c r="BG52" s="12">
        <f t="shared" si="10"/>
        <v>58</v>
      </c>
      <c r="BH52" s="12">
        <f t="shared" si="10"/>
        <v>59</v>
      </c>
      <c r="BI52" s="12">
        <f t="shared" si="10"/>
        <v>60</v>
      </c>
      <c r="BJ52" s="12">
        <f t="shared" si="10"/>
        <v>61</v>
      </c>
      <c r="BK52" s="12">
        <f t="shared" si="10"/>
        <v>62</v>
      </c>
      <c r="BL52" s="12">
        <f t="shared" si="10"/>
        <v>63</v>
      </c>
      <c r="BM52" s="12">
        <f t="shared" si="10"/>
        <v>64</v>
      </c>
      <c r="BN52" s="12">
        <f t="shared" si="10"/>
        <v>65</v>
      </c>
      <c r="BO52" s="12">
        <f t="shared" ref="BO52:CW52" si="11">IF(LEN(BO$3)&gt;0,BO$3,"")</f>
        <v>66</v>
      </c>
      <c r="BP52" s="12">
        <f t="shared" si="11"/>
        <v>67</v>
      </c>
      <c r="BQ52" s="12">
        <f t="shared" si="11"/>
        <v>68</v>
      </c>
      <c r="BR52" s="12">
        <f t="shared" si="11"/>
        <v>69</v>
      </c>
      <c r="BS52" s="12">
        <f t="shared" si="11"/>
        <v>70</v>
      </c>
      <c r="BT52" s="12">
        <f t="shared" si="11"/>
        <v>71</v>
      </c>
      <c r="BU52" s="12">
        <f t="shared" si="11"/>
        <v>72</v>
      </c>
      <c r="BV52" s="12">
        <f t="shared" si="11"/>
        <v>73</v>
      </c>
      <c r="BW52" s="12">
        <f t="shared" si="11"/>
        <v>74</v>
      </c>
      <c r="BX52" s="12">
        <f t="shared" si="11"/>
        <v>75</v>
      </c>
      <c r="BY52" s="12">
        <f t="shared" si="11"/>
        <v>76</v>
      </c>
      <c r="BZ52" s="12">
        <f t="shared" si="11"/>
        <v>77</v>
      </c>
      <c r="CA52" s="12">
        <f t="shared" si="11"/>
        <v>78</v>
      </c>
      <c r="CB52" s="12">
        <f t="shared" si="11"/>
        <v>79</v>
      </c>
      <c r="CC52" s="12">
        <f t="shared" si="11"/>
        <v>80</v>
      </c>
      <c r="CD52" s="12">
        <f t="shared" si="11"/>
        <v>81</v>
      </c>
      <c r="CE52" s="12">
        <f t="shared" si="11"/>
        <v>82</v>
      </c>
      <c r="CF52" s="12">
        <f t="shared" si="11"/>
        <v>83</v>
      </c>
      <c r="CG52" s="12">
        <f t="shared" si="11"/>
        <v>84</v>
      </c>
      <c r="CH52" s="12">
        <f t="shared" si="11"/>
        <v>85</v>
      </c>
      <c r="CI52" s="12">
        <f t="shared" si="11"/>
        <v>86</v>
      </c>
      <c r="CJ52" s="12">
        <f t="shared" si="11"/>
        <v>87</v>
      </c>
      <c r="CK52" s="12">
        <f t="shared" si="11"/>
        <v>88</v>
      </c>
      <c r="CL52" s="12">
        <f t="shared" si="11"/>
        <v>89</v>
      </c>
      <c r="CM52" s="12">
        <f t="shared" si="11"/>
        <v>90</v>
      </c>
      <c r="CN52" s="12">
        <f t="shared" si="11"/>
        <v>91</v>
      </c>
      <c r="CO52" s="12">
        <f t="shared" si="11"/>
        <v>92</v>
      </c>
      <c r="CP52" s="12">
        <f t="shared" si="11"/>
        <v>93</v>
      </c>
      <c r="CQ52" s="12">
        <f t="shared" si="11"/>
        <v>94</v>
      </c>
      <c r="CR52" s="12">
        <f t="shared" si="11"/>
        <v>95</v>
      </c>
      <c r="CS52" s="13">
        <f t="shared" si="11"/>
        <v>96</v>
      </c>
      <c r="CT52" s="13" t="str">
        <f t="shared" si="11"/>
        <v/>
      </c>
      <c r="CU52" s="13" t="str">
        <f t="shared" si="11"/>
        <v/>
      </c>
      <c r="CV52" s="13" t="str">
        <f t="shared" si="11"/>
        <v/>
      </c>
      <c r="CW52" s="17" t="str">
        <f t="shared" si="11"/>
        <v/>
      </c>
      <c r="CX52" s="18" t="s">
        <v>1</v>
      </c>
    </row>
    <row r="53" spans="1:102" ht="24.95" customHeight="1" thickBot="1" x14ac:dyDescent="0.25">
      <c r="A53" s="105" t="s">
        <v>41</v>
      </c>
      <c r="B53" s="106">
        <f>B17+B27+B41</f>
        <v>6908.5230000000001</v>
      </c>
      <c r="C53" s="107">
        <f t="shared" ref="C53:BN53" si="12">C17+C27+C41</f>
        <v>6842.0429999999997</v>
      </c>
      <c r="D53" s="107">
        <f t="shared" si="12"/>
        <v>6529.7020000000002</v>
      </c>
      <c r="E53" s="107">
        <f t="shared" si="12"/>
        <v>6221.0309999999999</v>
      </c>
      <c r="F53" s="107">
        <f t="shared" si="12"/>
        <v>6619.8469999999998</v>
      </c>
      <c r="G53" s="107">
        <f t="shared" si="12"/>
        <v>6365.2640000000001</v>
      </c>
      <c r="H53" s="107">
        <f t="shared" si="12"/>
        <v>6257.6939999999995</v>
      </c>
      <c r="I53" s="107">
        <f t="shared" si="12"/>
        <v>6235.183</v>
      </c>
      <c r="J53" s="107">
        <f t="shared" si="12"/>
        <v>6228.5740000000005</v>
      </c>
      <c r="K53" s="107">
        <f t="shared" si="12"/>
        <v>5994.4449999999997</v>
      </c>
      <c r="L53" s="107">
        <f t="shared" si="12"/>
        <v>5955.7829999999994</v>
      </c>
      <c r="M53" s="107">
        <f t="shared" si="12"/>
        <v>5958.6399999999994</v>
      </c>
      <c r="N53" s="107">
        <f t="shared" si="12"/>
        <v>5878.1459999999997</v>
      </c>
      <c r="O53" s="107">
        <f t="shared" si="12"/>
        <v>5887.9279999999999</v>
      </c>
      <c r="P53" s="107">
        <f t="shared" si="12"/>
        <v>5866.3369999999995</v>
      </c>
      <c r="Q53" s="107">
        <f t="shared" si="12"/>
        <v>5850.9429999999993</v>
      </c>
      <c r="R53" s="107">
        <f t="shared" si="12"/>
        <v>5802.1379999999999</v>
      </c>
      <c r="S53" s="107">
        <f t="shared" si="12"/>
        <v>5796.9229999999998</v>
      </c>
      <c r="T53" s="107">
        <f t="shared" si="12"/>
        <v>5809.8739999999998</v>
      </c>
      <c r="U53" s="107">
        <f t="shared" si="12"/>
        <v>5832.6859999999997</v>
      </c>
      <c r="V53" s="107">
        <f t="shared" si="12"/>
        <v>5873.7509999999993</v>
      </c>
      <c r="W53" s="107">
        <f t="shared" si="12"/>
        <v>5905.4319999999989</v>
      </c>
      <c r="X53" s="107">
        <f t="shared" si="12"/>
        <v>5951.8590000000004</v>
      </c>
      <c r="Y53" s="107">
        <f t="shared" si="12"/>
        <v>6007.8139999999994</v>
      </c>
      <c r="Z53" s="107">
        <f t="shared" si="12"/>
        <v>6113.177999999999</v>
      </c>
      <c r="AA53" s="107">
        <f t="shared" si="12"/>
        <v>6171.2150000000001</v>
      </c>
      <c r="AB53" s="107">
        <f t="shared" si="12"/>
        <v>6244.4239999999991</v>
      </c>
      <c r="AC53" s="107">
        <f t="shared" si="12"/>
        <v>6314.5159999999996</v>
      </c>
      <c r="AD53" s="107">
        <f t="shared" si="12"/>
        <v>6464.5079999999998</v>
      </c>
      <c r="AE53" s="107">
        <f t="shared" si="12"/>
        <v>6587.5780000000004</v>
      </c>
      <c r="AF53" s="107">
        <f t="shared" si="12"/>
        <v>6718.7309999999998</v>
      </c>
      <c r="AG53" s="107">
        <f t="shared" si="12"/>
        <v>6923.5350000000008</v>
      </c>
      <c r="AH53" s="107">
        <f t="shared" si="12"/>
        <v>7169.1210000000019</v>
      </c>
      <c r="AI53" s="107">
        <f t="shared" si="12"/>
        <v>7352.485999999999</v>
      </c>
      <c r="AJ53" s="107">
        <f t="shared" si="12"/>
        <v>7862.6780000000017</v>
      </c>
      <c r="AK53" s="107">
        <f t="shared" si="12"/>
        <v>8247.1959999999999</v>
      </c>
      <c r="AL53" s="107">
        <f t="shared" si="12"/>
        <v>8216.3010000000013</v>
      </c>
      <c r="AM53" s="107">
        <f t="shared" si="12"/>
        <v>8419.387999999999</v>
      </c>
      <c r="AN53" s="107">
        <f t="shared" si="12"/>
        <v>8528.4390000000003</v>
      </c>
      <c r="AO53" s="107">
        <f t="shared" si="12"/>
        <v>8750.6610000000001</v>
      </c>
      <c r="AP53" s="107">
        <f t="shared" si="12"/>
        <v>8945.8680000000004</v>
      </c>
      <c r="AQ53" s="107">
        <f t="shared" si="12"/>
        <v>9028.7890000000007</v>
      </c>
      <c r="AR53" s="107">
        <f t="shared" si="12"/>
        <v>9126.4809999999998</v>
      </c>
      <c r="AS53" s="107">
        <f t="shared" si="12"/>
        <v>9135.3870000000006</v>
      </c>
      <c r="AT53" s="107">
        <f t="shared" si="12"/>
        <v>9104.0609999999997</v>
      </c>
      <c r="AU53" s="107">
        <f t="shared" si="12"/>
        <v>9053.4789999999994</v>
      </c>
      <c r="AV53" s="107">
        <f t="shared" si="12"/>
        <v>8976.2189999999991</v>
      </c>
      <c r="AW53" s="107">
        <f t="shared" si="12"/>
        <v>8897.2649999999994</v>
      </c>
      <c r="AX53" s="107">
        <f t="shared" si="12"/>
        <v>8817.0700000000015</v>
      </c>
      <c r="AY53" s="107">
        <f t="shared" si="12"/>
        <v>8660.2839999999997</v>
      </c>
      <c r="AZ53" s="107">
        <f t="shared" si="12"/>
        <v>8499.2250000000004</v>
      </c>
      <c r="BA53" s="107">
        <f t="shared" si="12"/>
        <v>8298.7290000000012</v>
      </c>
      <c r="BB53" s="107">
        <f t="shared" si="12"/>
        <v>8087.6619999999994</v>
      </c>
      <c r="BC53" s="107">
        <f t="shared" si="12"/>
        <v>7886.9010000000007</v>
      </c>
      <c r="BD53" s="107">
        <f t="shared" si="12"/>
        <v>7811.8859999999995</v>
      </c>
      <c r="BE53" s="107">
        <f t="shared" si="12"/>
        <v>7747.4229999999998</v>
      </c>
      <c r="BF53" s="107">
        <f t="shared" si="12"/>
        <v>7449.99</v>
      </c>
      <c r="BG53" s="107">
        <f t="shared" si="12"/>
        <v>7405.2720000000008</v>
      </c>
      <c r="BH53" s="107">
        <f t="shared" si="12"/>
        <v>7373.5260000000007</v>
      </c>
      <c r="BI53" s="107">
        <f t="shared" si="12"/>
        <v>7300.4380000000001</v>
      </c>
      <c r="BJ53" s="107">
        <f t="shared" si="12"/>
        <v>7340.7220000000007</v>
      </c>
      <c r="BK53" s="107">
        <f t="shared" si="12"/>
        <v>7371.0020000000004</v>
      </c>
      <c r="BL53" s="107">
        <f t="shared" si="12"/>
        <v>7430.8209999999999</v>
      </c>
      <c r="BM53" s="107">
        <f t="shared" si="12"/>
        <v>7418.9510000000009</v>
      </c>
      <c r="BN53" s="107">
        <f t="shared" si="12"/>
        <v>7141.7290000000012</v>
      </c>
      <c r="BO53" s="107">
        <f t="shared" ref="BO53:CX53" si="13">BO17+BO27+BO41</f>
        <v>7270.2429999999995</v>
      </c>
      <c r="BP53" s="107">
        <f t="shared" si="13"/>
        <v>7422.3140000000003</v>
      </c>
      <c r="BQ53" s="107">
        <f t="shared" si="13"/>
        <v>7553.8429999999998</v>
      </c>
      <c r="BR53" s="107">
        <f t="shared" si="13"/>
        <v>7741.7980000000007</v>
      </c>
      <c r="BS53" s="107">
        <f t="shared" si="13"/>
        <v>7834.9989999999998</v>
      </c>
      <c r="BT53" s="107">
        <f t="shared" si="13"/>
        <v>7899.9660000000003</v>
      </c>
      <c r="BU53" s="107">
        <f t="shared" si="13"/>
        <v>7930.7320000000009</v>
      </c>
      <c r="BV53" s="107">
        <f t="shared" si="13"/>
        <v>7900.2019999999993</v>
      </c>
      <c r="BW53" s="107">
        <f t="shared" si="13"/>
        <v>7905.6739999999991</v>
      </c>
      <c r="BX53" s="107">
        <f t="shared" si="13"/>
        <v>7949.2490000000007</v>
      </c>
      <c r="BY53" s="107">
        <f t="shared" si="13"/>
        <v>7947.93</v>
      </c>
      <c r="BZ53" s="107">
        <f t="shared" si="13"/>
        <v>7904.2820000000011</v>
      </c>
      <c r="CA53" s="107">
        <f t="shared" si="13"/>
        <v>7888.6980000000003</v>
      </c>
      <c r="CB53" s="107">
        <f t="shared" si="13"/>
        <v>7815.8950000000004</v>
      </c>
      <c r="CC53" s="107">
        <f t="shared" si="13"/>
        <v>7697.3160000000007</v>
      </c>
      <c r="CD53" s="107">
        <f t="shared" si="13"/>
        <v>7645.076</v>
      </c>
      <c r="CE53" s="107">
        <f t="shared" si="13"/>
        <v>7573.1130000000012</v>
      </c>
      <c r="CF53" s="107">
        <f t="shared" si="13"/>
        <v>7494.0990000000002</v>
      </c>
      <c r="CG53" s="107">
        <f t="shared" si="13"/>
        <v>7454.0499999999993</v>
      </c>
      <c r="CH53" s="107">
        <f t="shared" si="13"/>
        <v>7316.6750000000002</v>
      </c>
      <c r="CI53" s="107">
        <f t="shared" si="13"/>
        <v>7242.0810000000001</v>
      </c>
      <c r="CJ53" s="107">
        <f t="shared" si="13"/>
        <v>7209.3440000000001</v>
      </c>
      <c r="CK53" s="107">
        <f t="shared" si="13"/>
        <v>7137.2449999999999</v>
      </c>
      <c r="CL53" s="107">
        <f t="shared" si="13"/>
        <v>6982.1439999999993</v>
      </c>
      <c r="CM53" s="107">
        <f t="shared" si="13"/>
        <v>6811.8169999999991</v>
      </c>
      <c r="CN53" s="107">
        <f t="shared" si="13"/>
        <v>6778.9279999999999</v>
      </c>
      <c r="CO53" s="107">
        <f t="shared" si="13"/>
        <v>6655.110999999999</v>
      </c>
      <c r="CP53" s="107">
        <f t="shared" si="13"/>
        <v>6927.4560000000001</v>
      </c>
      <c r="CQ53" s="107">
        <f t="shared" si="13"/>
        <v>6778.3279999999995</v>
      </c>
      <c r="CR53" s="107">
        <f t="shared" si="13"/>
        <v>6643.8559999999998</v>
      </c>
      <c r="CS53" s="107">
        <f t="shared" si="13"/>
        <v>6517.28</v>
      </c>
      <c r="CT53" s="108">
        <f t="shared" si="13"/>
        <v>0</v>
      </c>
      <c r="CU53" s="108">
        <f t="shared" si="13"/>
        <v>0</v>
      </c>
      <c r="CV53" s="108">
        <f t="shared" si="13"/>
        <v>0</v>
      </c>
      <c r="CW53" s="109">
        <f t="shared" si="13"/>
        <v>0</v>
      </c>
      <c r="CX53" s="126">
        <f t="shared" si="13"/>
        <v>174200.85975</v>
      </c>
    </row>
  </sheetData>
  <mergeCells count="35">
    <mergeCell ref="B28:CX28"/>
    <mergeCell ref="B29:CW29"/>
    <mergeCell ref="B34:CX34"/>
    <mergeCell ref="B35:CX35"/>
    <mergeCell ref="B43:CX43"/>
    <mergeCell ref="CT2:CW2"/>
    <mergeCell ref="B4:CX4"/>
    <mergeCell ref="B7:CX7"/>
    <mergeCell ref="B10:CW10"/>
    <mergeCell ref="B18:CX18"/>
    <mergeCell ref="B19:CW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conditionalFormatting sqref="B8:CW8">
    <cfRule type="cellIs" dxfId="0" priority="1" operator="greaterThan">
      <formula>1500</formula>
    </cfRule>
  </conditionalFormatting>
  <pageMargins left="0.19685039370078741" right="0.19685039370078741" top="0.35433070866141736" bottom="0.31496062992125984" header="0.23622047244094491" footer="0.19685039370078741"/>
  <pageSetup paperSize="9" scale="37" fitToWidth="4" fitToHeight="4" orientation="landscape" horizontalDpi="300" verticalDpi="300" r:id="rId1"/>
  <headerFooter>
    <oddHeader>&amp;L&amp;12&amp;A</oddHeader>
    <oddFooter>&amp;R&amp;12&amp;D&amp;T</oddFooter>
  </headerFooter>
  <colBreaks count="3" manualBreakCount="3">
    <brk id="25" max="53" man="1"/>
    <brk id="49" max="53" man="1"/>
    <brk id="73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CX32"/>
  <sheetViews>
    <sheetView showGridLines="0" zoomScale="60" zoomScaleNormal="60" workbookViewId="0">
      <pane xSplit="1" ySplit="4" topLeftCell="AZ5" activePane="bottomRight" state="frozen"/>
      <selection pane="topRight" activeCell="B1" sqref="B1"/>
      <selection pane="bottomLeft" activeCell="A6" sqref="A6"/>
      <selection pane="bottomRight" activeCell="O14" sqref="O14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6384" width="9.140625" style="5"/>
  </cols>
  <sheetData>
    <row r="1" spans="1:102" ht="39.950000000000003" customHeight="1" thickBot="1" x14ac:dyDescent="0.25">
      <c r="A1" s="1" t="s">
        <v>55</v>
      </c>
      <c r="B1" s="2"/>
      <c r="C1" s="129"/>
      <c r="D1" s="2" t="s">
        <v>0</v>
      </c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130"/>
      <c r="CR1" s="130"/>
      <c r="CS1" s="130"/>
      <c r="CT1" s="130"/>
      <c r="CU1" s="130"/>
      <c r="CV1" s="130"/>
      <c r="CW1" s="130"/>
      <c r="CX1" s="130"/>
    </row>
    <row r="2" spans="1:102" ht="25.15" customHeight="1" thickBot="1" x14ac:dyDescent="0.25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131"/>
    </row>
    <row r="3" spans="1:102" ht="30" customHeight="1" thickBot="1" x14ac:dyDescent="0.25">
      <c r="A3" s="10">
        <v>46023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1</v>
      </c>
    </row>
    <row r="4" spans="1:102" ht="30" customHeight="1" thickBot="1" x14ac:dyDescent="0.25">
      <c r="A4" s="19" t="s">
        <v>52</v>
      </c>
      <c r="B4" s="20">
        <v>101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2" ht="24.95" customHeight="1" x14ac:dyDescent="0.2">
      <c r="A5" s="23" t="s">
        <v>3</v>
      </c>
      <c r="B5" s="24">
        <v>1026.7</v>
      </c>
      <c r="C5" s="25">
        <v>1034.5999999999999</v>
      </c>
      <c r="D5" s="25">
        <v>793.3</v>
      </c>
      <c r="E5" s="25">
        <v>529.20000000000005</v>
      </c>
      <c r="F5" s="25">
        <v>991.3</v>
      </c>
      <c r="G5" s="25">
        <v>766.5</v>
      </c>
      <c r="H5" s="25">
        <v>685.6</v>
      </c>
      <c r="I5" s="25">
        <v>657.3</v>
      </c>
      <c r="J5" s="25">
        <v>729</v>
      </c>
      <c r="K5" s="25">
        <v>513.70000000000005</v>
      </c>
      <c r="L5" s="25">
        <v>422.6</v>
      </c>
      <c r="M5" s="25">
        <v>115.19999999999999</v>
      </c>
      <c r="N5" s="25">
        <v>453.8</v>
      </c>
      <c r="O5" s="25">
        <v>201.8</v>
      </c>
      <c r="P5" s="25">
        <v>132.30000000000001</v>
      </c>
      <c r="Q5" s="25">
        <v>213.39999999999998</v>
      </c>
      <c r="R5" s="25">
        <v>-41.5</v>
      </c>
      <c r="S5" s="25">
        <v>-43.299999999999955</v>
      </c>
      <c r="T5" s="25">
        <v>29.300000000000011</v>
      </c>
      <c r="U5" s="25">
        <v>5.1000000000000227</v>
      </c>
      <c r="V5" s="25">
        <v>-76.299999999999955</v>
      </c>
      <c r="W5" s="25">
        <v>-102.29999999999995</v>
      </c>
      <c r="X5" s="25">
        <v>-2.8000000000000114</v>
      </c>
      <c r="Y5" s="25">
        <v>103.5</v>
      </c>
      <c r="Z5" s="25">
        <v>-448.29999999999995</v>
      </c>
      <c r="AA5" s="25">
        <v>-365</v>
      </c>
      <c r="AB5" s="25">
        <v>-300.70000000000005</v>
      </c>
      <c r="AC5" s="25">
        <v>-208.5</v>
      </c>
      <c r="AD5" s="25">
        <v>-159.39999999999998</v>
      </c>
      <c r="AE5" s="25">
        <v>-335.5</v>
      </c>
      <c r="AF5" s="25">
        <v>-213.39999999999998</v>
      </c>
      <c r="AG5" s="25">
        <v>63.899999999999977</v>
      </c>
      <c r="AH5" s="25">
        <v>163.30000000000001</v>
      </c>
      <c r="AI5" s="25">
        <v>561.6</v>
      </c>
      <c r="AJ5" s="25">
        <v>959</v>
      </c>
      <c r="AK5" s="25">
        <v>1239.3</v>
      </c>
      <c r="AL5" s="25">
        <v>1040.5999999999999</v>
      </c>
      <c r="AM5" s="25">
        <v>1164.0999999999999</v>
      </c>
      <c r="AN5" s="25">
        <v>1133.3</v>
      </c>
      <c r="AO5" s="25">
        <v>1277.0999999999999</v>
      </c>
      <c r="AP5" s="25">
        <v>1278.4000000000001</v>
      </c>
      <c r="AQ5" s="25">
        <v>1289.0999999999999</v>
      </c>
      <c r="AR5" s="25">
        <v>1336.5</v>
      </c>
      <c r="AS5" s="25">
        <v>1317</v>
      </c>
      <c r="AT5" s="25">
        <v>1337.2</v>
      </c>
      <c r="AU5" s="25">
        <v>1218.8</v>
      </c>
      <c r="AV5" s="25">
        <v>1153.3</v>
      </c>
      <c r="AW5" s="25">
        <v>1104.0999999999999</v>
      </c>
      <c r="AX5" s="25">
        <v>1075.5</v>
      </c>
      <c r="AY5" s="25">
        <v>988.3</v>
      </c>
      <c r="AZ5" s="25">
        <v>898.2</v>
      </c>
      <c r="BA5" s="25">
        <v>788.7</v>
      </c>
      <c r="BB5" s="25">
        <v>735.2</v>
      </c>
      <c r="BC5" s="25">
        <v>519.70000000000005</v>
      </c>
      <c r="BD5" s="25">
        <v>501.7</v>
      </c>
      <c r="BE5" s="25">
        <v>253.4</v>
      </c>
      <c r="BF5" s="25">
        <v>400.5</v>
      </c>
      <c r="BG5" s="25">
        <v>76.899999999999977</v>
      </c>
      <c r="BH5" s="25">
        <v>-369.6</v>
      </c>
      <c r="BI5" s="25">
        <v>-567.59999999999991</v>
      </c>
      <c r="BJ5" s="25">
        <v>-911</v>
      </c>
      <c r="BK5" s="25">
        <v>-911</v>
      </c>
      <c r="BL5" s="25">
        <v>-827.5</v>
      </c>
      <c r="BM5" s="25">
        <v>-711.2</v>
      </c>
      <c r="BN5" s="25">
        <v>-1451</v>
      </c>
      <c r="BO5" s="25">
        <v>-1617.9</v>
      </c>
      <c r="BP5" s="25">
        <v>-1580</v>
      </c>
      <c r="BQ5" s="25">
        <v>-1660.2</v>
      </c>
      <c r="BR5" s="25">
        <v>-1684.2</v>
      </c>
      <c r="BS5" s="25">
        <v>-1675.4</v>
      </c>
      <c r="BT5" s="25">
        <v>-1684.2</v>
      </c>
      <c r="BU5" s="25">
        <v>-1684.2</v>
      </c>
      <c r="BV5" s="25">
        <v>-1580.2</v>
      </c>
      <c r="BW5" s="25">
        <v>-1580.2</v>
      </c>
      <c r="BX5" s="25">
        <v>-1555.9</v>
      </c>
      <c r="BY5" s="25">
        <v>-1580.2</v>
      </c>
      <c r="BZ5" s="25">
        <v>-1731.7</v>
      </c>
      <c r="CA5" s="25">
        <v>-1714.6000000000001</v>
      </c>
      <c r="CB5" s="25">
        <v>-1731.7</v>
      </c>
      <c r="CC5" s="25">
        <v>-1731.7</v>
      </c>
      <c r="CD5" s="25">
        <v>-1911</v>
      </c>
      <c r="CE5" s="25">
        <v>-1911</v>
      </c>
      <c r="CF5" s="25">
        <v>-1911</v>
      </c>
      <c r="CG5" s="25">
        <v>-1897.3</v>
      </c>
      <c r="CH5" s="25">
        <v>-1645.7</v>
      </c>
      <c r="CI5" s="25">
        <v>-1645.7</v>
      </c>
      <c r="CJ5" s="25">
        <v>-1645.7</v>
      </c>
      <c r="CK5" s="25">
        <v>-1645.7</v>
      </c>
      <c r="CL5" s="25">
        <v>-1437</v>
      </c>
      <c r="CM5" s="25">
        <v>-1162.5999999999999</v>
      </c>
      <c r="CN5" s="25">
        <v>-1202.4000000000001</v>
      </c>
      <c r="CO5" s="25">
        <v>-1139.0999999999999</v>
      </c>
      <c r="CP5" s="25">
        <v>-911</v>
      </c>
      <c r="CQ5" s="25">
        <v>-911</v>
      </c>
      <c r="CR5" s="25">
        <v>-911</v>
      </c>
      <c r="CS5" s="25">
        <v>-911</v>
      </c>
      <c r="CT5" s="26"/>
      <c r="CU5" s="26"/>
      <c r="CV5" s="26"/>
      <c r="CW5" s="27"/>
      <c r="CX5" s="132">
        <f t="array" ref="CX5">SUMPRODUCT(B5:CW5*0.25)</f>
        <v>-5589.375</v>
      </c>
    </row>
    <row r="6" spans="1:102" ht="24.95" customHeight="1" thickBot="1" x14ac:dyDescent="0.25">
      <c r="A6" s="133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2" ht="30" customHeight="1" thickBot="1" x14ac:dyDescent="0.25">
      <c r="A7" s="19" t="s">
        <v>4</v>
      </c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6"/>
    </row>
    <row r="8" spans="1:102" ht="24.95" customHeight="1" x14ac:dyDescent="0.2">
      <c r="A8" s="35" t="s">
        <v>5</v>
      </c>
      <c r="B8" s="137">
        <v>104.05</v>
      </c>
      <c r="C8" s="138">
        <v>98.71</v>
      </c>
      <c r="D8" s="138">
        <v>97.98</v>
      </c>
      <c r="E8" s="138">
        <v>91.66</v>
      </c>
      <c r="F8" s="138">
        <v>99.07</v>
      </c>
      <c r="G8" s="138">
        <v>97.24</v>
      </c>
      <c r="H8" s="138">
        <v>93.14</v>
      </c>
      <c r="I8" s="138">
        <v>86.33</v>
      </c>
      <c r="J8" s="138">
        <v>97.5</v>
      </c>
      <c r="K8" s="138">
        <v>89.43</v>
      </c>
      <c r="L8" s="138">
        <v>86.3</v>
      </c>
      <c r="M8" s="138">
        <v>79</v>
      </c>
      <c r="N8" s="138">
        <v>82.61</v>
      </c>
      <c r="O8" s="138">
        <v>77.77</v>
      </c>
      <c r="P8" s="138">
        <v>74.94</v>
      </c>
      <c r="Q8" s="138">
        <v>76.650000000000006</v>
      </c>
      <c r="R8" s="138">
        <v>69.45</v>
      </c>
      <c r="S8" s="138">
        <v>70.319999999999993</v>
      </c>
      <c r="T8" s="138">
        <v>74.25</v>
      </c>
      <c r="U8" s="138">
        <v>74.25</v>
      </c>
      <c r="V8" s="138">
        <v>52.34</v>
      </c>
      <c r="W8" s="138">
        <v>73.180000000000007</v>
      </c>
      <c r="X8" s="138">
        <v>75.349999999999994</v>
      </c>
      <c r="Y8" s="138">
        <v>80.209999999999994</v>
      </c>
      <c r="Z8" s="138">
        <v>75.59</v>
      </c>
      <c r="AA8" s="138">
        <v>80.36</v>
      </c>
      <c r="AB8" s="138">
        <v>83.01</v>
      </c>
      <c r="AC8" s="138">
        <v>85.99</v>
      </c>
      <c r="AD8" s="138">
        <v>83.71</v>
      </c>
      <c r="AE8" s="138">
        <v>75.27</v>
      </c>
      <c r="AF8" s="138">
        <v>61.11</v>
      </c>
      <c r="AG8" s="138">
        <v>48.81</v>
      </c>
      <c r="AH8" s="138">
        <v>48.15</v>
      </c>
      <c r="AI8" s="138">
        <v>43.09</v>
      </c>
      <c r="AJ8" s="138">
        <v>43.11</v>
      </c>
      <c r="AK8" s="138">
        <v>37.409999999999997</v>
      </c>
      <c r="AL8" s="138">
        <v>51.02</v>
      </c>
      <c r="AM8" s="138">
        <v>46.16</v>
      </c>
      <c r="AN8" s="138">
        <v>29.95</v>
      </c>
      <c r="AO8" s="138">
        <v>10.25</v>
      </c>
      <c r="AP8" s="138">
        <v>15.1</v>
      </c>
      <c r="AQ8" s="138">
        <v>24.85</v>
      </c>
      <c r="AR8" s="138">
        <v>22.27</v>
      </c>
      <c r="AS8" s="138">
        <v>10.23</v>
      </c>
      <c r="AT8" s="138">
        <v>39.44</v>
      </c>
      <c r="AU8" s="138">
        <v>21.09</v>
      </c>
      <c r="AV8" s="138">
        <v>25.17</v>
      </c>
      <c r="AW8" s="138">
        <v>20.28</v>
      </c>
      <c r="AX8" s="138">
        <v>22.48</v>
      </c>
      <c r="AY8" s="138">
        <v>26.06</v>
      </c>
      <c r="AZ8" s="138">
        <v>29.66</v>
      </c>
      <c r="BA8" s="138">
        <v>34.630000000000003</v>
      </c>
      <c r="BB8" s="138">
        <v>40.01</v>
      </c>
      <c r="BC8" s="138">
        <v>40</v>
      </c>
      <c r="BD8" s="138">
        <v>31.94</v>
      </c>
      <c r="BE8" s="138">
        <v>32.96</v>
      </c>
      <c r="BF8" s="138">
        <v>38.99</v>
      </c>
      <c r="BG8" s="138">
        <v>54.88</v>
      </c>
      <c r="BH8" s="138">
        <v>54.69</v>
      </c>
      <c r="BI8" s="138">
        <v>80.27</v>
      </c>
      <c r="BJ8" s="138">
        <v>81.010000000000005</v>
      </c>
      <c r="BK8" s="138">
        <v>86.08</v>
      </c>
      <c r="BL8" s="138">
        <v>104.05</v>
      </c>
      <c r="BM8" s="138">
        <v>132.24</v>
      </c>
      <c r="BN8" s="138">
        <v>108.78</v>
      </c>
      <c r="BO8" s="138">
        <v>110.89</v>
      </c>
      <c r="BP8" s="138">
        <v>123.08</v>
      </c>
      <c r="BQ8" s="138">
        <v>103.07</v>
      </c>
      <c r="BR8" s="138">
        <v>125.05</v>
      </c>
      <c r="BS8" s="138">
        <v>123.57</v>
      </c>
      <c r="BT8" s="138">
        <v>109.46</v>
      </c>
      <c r="BU8" s="138">
        <v>121.92</v>
      </c>
      <c r="BV8" s="138">
        <v>126.87</v>
      </c>
      <c r="BW8" s="138">
        <v>127.54</v>
      </c>
      <c r="BX8" s="138">
        <v>118.71</v>
      </c>
      <c r="BY8" s="138">
        <v>108.15</v>
      </c>
      <c r="BZ8" s="138">
        <v>106.36</v>
      </c>
      <c r="CA8" s="138">
        <v>105.64</v>
      </c>
      <c r="CB8" s="138">
        <v>129.18</v>
      </c>
      <c r="CC8" s="138">
        <v>140.47</v>
      </c>
      <c r="CD8" s="138">
        <v>127.85</v>
      </c>
      <c r="CE8" s="138">
        <v>125.38</v>
      </c>
      <c r="CF8" s="138">
        <v>120.18</v>
      </c>
      <c r="CG8" s="138">
        <v>104.05</v>
      </c>
      <c r="CH8" s="138">
        <v>127.9</v>
      </c>
      <c r="CI8" s="138">
        <v>125.27</v>
      </c>
      <c r="CJ8" s="138">
        <v>107.46</v>
      </c>
      <c r="CK8" s="138">
        <v>99.37</v>
      </c>
      <c r="CL8" s="138">
        <v>108.27</v>
      </c>
      <c r="CM8" s="138">
        <v>126.37</v>
      </c>
      <c r="CN8" s="138">
        <v>104.06</v>
      </c>
      <c r="CO8" s="138">
        <v>98.42</v>
      </c>
      <c r="CP8" s="138">
        <v>98.97</v>
      </c>
      <c r="CQ8" s="138">
        <v>97.37</v>
      </c>
      <c r="CR8" s="138">
        <v>97.18</v>
      </c>
      <c r="CS8" s="138">
        <v>95.98</v>
      </c>
      <c r="CT8" s="139"/>
      <c r="CU8" s="139"/>
      <c r="CV8" s="139"/>
      <c r="CW8" s="140"/>
      <c r="CX8" s="141">
        <f>IF(SUM(B8:CW8)&lt;&gt;0,AVERAGEIF(B8:CW8,"&lt;&gt;"""),"")</f>
        <v>79.436666666666682</v>
      </c>
    </row>
    <row r="9" spans="1:102" ht="24.95" customHeight="1" thickBot="1" x14ac:dyDescent="0.25">
      <c r="A9" s="133" t="s">
        <v>6</v>
      </c>
      <c r="B9" s="42">
        <v>98.1</v>
      </c>
      <c r="C9" s="43">
        <v>98.1</v>
      </c>
      <c r="D9" s="43">
        <v>98.1</v>
      </c>
      <c r="E9" s="43">
        <v>98.1</v>
      </c>
      <c r="F9" s="43">
        <v>93.944999999999993</v>
      </c>
      <c r="G9" s="43">
        <v>93.944999999999993</v>
      </c>
      <c r="H9" s="43">
        <v>93.944999999999993</v>
      </c>
      <c r="I9" s="43">
        <v>93.944999999999993</v>
      </c>
      <c r="J9" s="43">
        <v>88.057500000000005</v>
      </c>
      <c r="K9" s="43">
        <v>88.057500000000005</v>
      </c>
      <c r="L9" s="43">
        <v>88.057500000000005</v>
      </c>
      <c r="M9" s="43">
        <v>88.057500000000005</v>
      </c>
      <c r="N9" s="43">
        <v>77.992500000000007</v>
      </c>
      <c r="O9" s="43">
        <v>77.992500000000007</v>
      </c>
      <c r="P9" s="43">
        <v>77.992500000000007</v>
      </c>
      <c r="Q9" s="43">
        <v>77.992500000000007</v>
      </c>
      <c r="R9" s="43">
        <v>72.067499999999995</v>
      </c>
      <c r="S9" s="43">
        <v>72.067499999999995</v>
      </c>
      <c r="T9" s="43">
        <v>72.067499999999995</v>
      </c>
      <c r="U9" s="43">
        <v>72.067499999999995</v>
      </c>
      <c r="V9" s="43">
        <v>70.27</v>
      </c>
      <c r="W9" s="43">
        <v>70.27</v>
      </c>
      <c r="X9" s="43">
        <v>70.27</v>
      </c>
      <c r="Y9" s="43">
        <v>70.27</v>
      </c>
      <c r="Z9" s="43">
        <v>81.237499999999997</v>
      </c>
      <c r="AA9" s="43">
        <v>81.237499999999997</v>
      </c>
      <c r="AB9" s="43">
        <v>81.237499999999997</v>
      </c>
      <c r="AC9" s="43">
        <v>81.237499999999997</v>
      </c>
      <c r="AD9" s="43">
        <v>67.224999999999994</v>
      </c>
      <c r="AE9" s="43">
        <v>67.224999999999994</v>
      </c>
      <c r="AF9" s="43">
        <v>67.224999999999994</v>
      </c>
      <c r="AG9" s="43">
        <v>67.224999999999994</v>
      </c>
      <c r="AH9" s="43">
        <v>42.94</v>
      </c>
      <c r="AI9" s="43">
        <v>42.94</v>
      </c>
      <c r="AJ9" s="43">
        <v>42.94</v>
      </c>
      <c r="AK9" s="43">
        <v>42.94</v>
      </c>
      <c r="AL9" s="43">
        <v>34.344999999999999</v>
      </c>
      <c r="AM9" s="43">
        <v>34.344999999999999</v>
      </c>
      <c r="AN9" s="43">
        <v>34.344999999999999</v>
      </c>
      <c r="AO9" s="43">
        <v>34.344999999999999</v>
      </c>
      <c r="AP9" s="43">
        <v>18.112500000000001</v>
      </c>
      <c r="AQ9" s="43">
        <v>18.112500000000001</v>
      </c>
      <c r="AR9" s="43">
        <v>18.112500000000001</v>
      </c>
      <c r="AS9" s="43">
        <v>18.112500000000001</v>
      </c>
      <c r="AT9" s="43">
        <v>26.495000000000001</v>
      </c>
      <c r="AU9" s="43">
        <v>26.495000000000001</v>
      </c>
      <c r="AV9" s="43">
        <v>26.495000000000001</v>
      </c>
      <c r="AW9" s="43">
        <v>26.495000000000001</v>
      </c>
      <c r="AX9" s="43">
        <v>28.2075</v>
      </c>
      <c r="AY9" s="43">
        <v>28.2075</v>
      </c>
      <c r="AZ9" s="43">
        <v>28.2075</v>
      </c>
      <c r="BA9" s="43">
        <v>28.2075</v>
      </c>
      <c r="BB9" s="43">
        <v>36.227499999999999</v>
      </c>
      <c r="BC9" s="43">
        <v>36.227499999999999</v>
      </c>
      <c r="BD9" s="43">
        <v>36.227499999999999</v>
      </c>
      <c r="BE9" s="43">
        <v>36.227499999999999</v>
      </c>
      <c r="BF9" s="43">
        <v>57.207500000000003</v>
      </c>
      <c r="BG9" s="43">
        <v>57.207500000000003</v>
      </c>
      <c r="BH9" s="43">
        <v>57.207500000000003</v>
      </c>
      <c r="BI9" s="43">
        <v>57.207500000000003</v>
      </c>
      <c r="BJ9" s="43">
        <v>100.845</v>
      </c>
      <c r="BK9" s="43">
        <v>100.845</v>
      </c>
      <c r="BL9" s="43">
        <v>100.845</v>
      </c>
      <c r="BM9" s="43">
        <v>100.845</v>
      </c>
      <c r="BN9" s="43">
        <v>111.455</v>
      </c>
      <c r="BO9" s="43">
        <v>111.455</v>
      </c>
      <c r="BP9" s="43">
        <v>111.455</v>
      </c>
      <c r="BQ9" s="43">
        <v>111.455</v>
      </c>
      <c r="BR9" s="43">
        <v>120</v>
      </c>
      <c r="BS9" s="43">
        <v>120</v>
      </c>
      <c r="BT9" s="43">
        <v>120</v>
      </c>
      <c r="BU9" s="43">
        <v>120</v>
      </c>
      <c r="BV9" s="43">
        <v>120.3175</v>
      </c>
      <c r="BW9" s="43">
        <v>120.3175</v>
      </c>
      <c r="BX9" s="43">
        <v>120.3175</v>
      </c>
      <c r="BY9" s="43">
        <v>120.3175</v>
      </c>
      <c r="BZ9" s="43">
        <v>120.41249999999999</v>
      </c>
      <c r="CA9" s="43">
        <v>120.41249999999999</v>
      </c>
      <c r="CB9" s="43">
        <v>120.41249999999999</v>
      </c>
      <c r="CC9" s="43">
        <v>120.41249999999999</v>
      </c>
      <c r="CD9" s="43">
        <v>119.36499999999999</v>
      </c>
      <c r="CE9" s="43">
        <v>119.36499999999999</v>
      </c>
      <c r="CF9" s="43">
        <v>119.36499999999999</v>
      </c>
      <c r="CG9" s="43">
        <v>119.36499999999999</v>
      </c>
      <c r="CH9" s="43">
        <v>115</v>
      </c>
      <c r="CI9" s="43">
        <v>115</v>
      </c>
      <c r="CJ9" s="43">
        <v>115</v>
      </c>
      <c r="CK9" s="43">
        <v>115</v>
      </c>
      <c r="CL9" s="43">
        <v>109.28</v>
      </c>
      <c r="CM9" s="43">
        <v>109.28</v>
      </c>
      <c r="CN9" s="43">
        <v>109.28</v>
      </c>
      <c r="CO9" s="43">
        <v>109.28</v>
      </c>
      <c r="CP9" s="43">
        <v>97.375</v>
      </c>
      <c r="CQ9" s="43">
        <v>97.375</v>
      </c>
      <c r="CR9" s="43">
        <v>97.375</v>
      </c>
      <c r="CS9" s="43">
        <v>97.375</v>
      </c>
      <c r="CT9" s="44"/>
      <c r="CU9" s="44"/>
      <c r="CV9" s="44"/>
      <c r="CW9" s="45"/>
      <c r="CX9" s="142">
        <f>IF(SUM(B9:CW9)&lt;&gt;0,AVERAGEIF(B9:CW9,"&lt;&gt;"""),"")</f>
        <v>79.436666666666653</v>
      </c>
    </row>
    <row r="10" spans="1:102" ht="18" customHeight="1" thickBot="1" x14ac:dyDescent="0.25">
      <c r="A10" s="81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4"/>
    </row>
    <row r="11" spans="1:102" ht="30" customHeight="1" thickBot="1" x14ac:dyDescent="0.25">
      <c r="A11" s="85" t="s">
        <v>36</v>
      </c>
      <c r="B11" s="111">
        <v>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3"/>
    </row>
    <row r="12" spans="1:102" ht="24.95" customHeight="1" x14ac:dyDescent="0.2">
      <c r="A12" s="86" t="s">
        <v>30</v>
      </c>
      <c r="B12" s="143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  <c r="CI12" s="144"/>
      <c r="CJ12" s="144"/>
      <c r="CK12" s="144"/>
      <c r="CL12" s="144"/>
      <c r="CM12" s="144"/>
      <c r="CN12" s="144"/>
      <c r="CO12" s="144"/>
      <c r="CP12" s="144"/>
      <c r="CQ12" s="144"/>
      <c r="CR12" s="144"/>
      <c r="CS12" s="144"/>
      <c r="CT12" s="145"/>
      <c r="CU12" s="145"/>
      <c r="CV12" s="145"/>
      <c r="CW12" s="146"/>
      <c r="CX12" s="147">
        <f t="array" ref="CX12">SUMPRODUCT(B12:CW12*0.25)</f>
        <v>0</v>
      </c>
    </row>
    <row r="13" spans="1:102" ht="24.95" customHeight="1" x14ac:dyDescent="0.2">
      <c r="A13" s="118" t="s">
        <v>31</v>
      </c>
      <c r="B13" s="148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50"/>
      <c r="CU13" s="150"/>
      <c r="CV13" s="150"/>
      <c r="CW13" s="151"/>
      <c r="CX13" s="152">
        <f t="array" ref="CX13">SUMPRODUCT(B13:CW13*0.25)</f>
        <v>0</v>
      </c>
    </row>
    <row r="14" spans="1:102" ht="24.95" customHeight="1" x14ac:dyDescent="0.2">
      <c r="A14" s="118" t="s">
        <v>32</v>
      </c>
      <c r="B14" s="148"/>
      <c r="C14" s="149"/>
      <c r="D14" s="149"/>
      <c r="E14" s="149"/>
      <c r="F14" s="149"/>
      <c r="G14" s="149"/>
      <c r="H14" s="149"/>
      <c r="I14" s="149"/>
      <c r="J14" s="149"/>
      <c r="K14" s="149"/>
      <c r="L14" s="149">
        <v>77.400000000000006</v>
      </c>
      <c r="M14" s="149">
        <v>384.8</v>
      </c>
      <c r="N14" s="149">
        <v>46.2</v>
      </c>
      <c r="O14" s="149">
        <v>298.2</v>
      </c>
      <c r="P14" s="149">
        <v>367.7</v>
      </c>
      <c r="Q14" s="149">
        <v>286.60000000000002</v>
      </c>
      <c r="R14" s="149">
        <v>541.5</v>
      </c>
      <c r="S14" s="149">
        <v>543.29999999999995</v>
      </c>
      <c r="T14" s="149">
        <v>470.7</v>
      </c>
      <c r="U14" s="149">
        <v>494.9</v>
      </c>
      <c r="V14" s="149">
        <v>576.29999999999995</v>
      </c>
      <c r="W14" s="149">
        <v>602.29999999999995</v>
      </c>
      <c r="X14" s="149">
        <v>502.8</v>
      </c>
      <c r="Y14" s="149">
        <v>396.5</v>
      </c>
      <c r="Z14" s="149">
        <v>948.3</v>
      </c>
      <c r="AA14" s="149">
        <v>865</v>
      </c>
      <c r="AB14" s="149">
        <v>800.7</v>
      </c>
      <c r="AC14" s="149">
        <v>708.5</v>
      </c>
      <c r="AD14" s="149">
        <v>659.4</v>
      </c>
      <c r="AE14" s="149">
        <v>835.5</v>
      </c>
      <c r="AF14" s="149">
        <v>713.4</v>
      </c>
      <c r="AG14" s="149">
        <v>436.1</v>
      </c>
      <c r="AH14" s="149">
        <v>336.7</v>
      </c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>
        <v>246.6</v>
      </c>
      <c r="BF14" s="149">
        <v>99.5</v>
      </c>
      <c r="BG14" s="149">
        <v>423.1</v>
      </c>
      <c r="BH14" s="149">
        <v>869.6</v>
      </c>
      <c r="BI14" s="149">
        <v>1067.5999999999999</v>
      </c>
      <c r="BJ14" s="149">
        <v>1411</v>
      </c>
      <c r="BK14" s="149">
        <v>1411</v>
      </c>
      <c r="BL14" s="149">
        <v>1327.5</v>
      </c>
      <c r="BM14" s="149">
        <v>1211.2</v>
      </c>
      <c r="BN14" s="149">
        <v>1201.8</v>
      </c>
      <c r="BO14" s="149">
        <v>1368.7</v>
      </c>
      <c r="BP14" s="149">
        <v>1330.8</v>
      </c>
      <c r="BQ14" s="149">
        <v>1411</v>
      </c>
      <c r="BR14" s="149">
        <v>1411</v>
      </c>
      <c r="BS14" s="149">
        <v>1402.2</v>
      </c>
      <c r="BT14" s="149">
        <v>1411</v>
      </c>
      <c r="BU14" s="149">
        <v>1411</v>
      </c>
      <c r="BV14" s="149">
        <v>1411</v>
      </c>
      <c r="BW14" s="149">
        <v>1411</v>
      </c>
      <c r="BX14" s="149">
        <v>1386.7</v>
      </c>
      <c r="BY14" s="149">
        <v>1411</v>
      </c>
      <c r="BZ14" s="149">
        <v>1411</v>
      </c>
      <c r="CA14" s="149">
        <v>1393.9</v>
      </c>
      <c r="CB14" s="149">
        <v>1411</v>
      </c>
      <c r="CC14" s="149">
        <v>1411</v>
      </c>
      <c r="CD14" s="149">
        <v>1411</v>
      </c>
      <c r="CE14" s="149">
        <v>1411</v>
      </c>
      <c r="CF14" s="149">
        <v>1411</v>
      </c>
      <c r="CG14" s="149">
        <v>1397.3</v>
      </c>
      <c r="CH14" s="149">
        <v>1411</v>
      </c>
      <c r="CI14" s="149">
        <v>1411</v>
      </c>
      <c r="CJ14" s="149">
        <v>1411</v>
      </c>
      <c r="CK14" s="149">
        <v>1411</v>
      </c>
      <c r="CL14" s="149">
        <v>1411</v>
      </c>
      <c r="CM14" s="149">
        <v>1136.5999999999999</v>
      </c>
      <c r="CN14" s="149">
        <v>1176.4000000000001</v>
      </c>
      <c r="CO14" s="149">
        <v>1113.0999999999999</v>
      </c>
      <c r="CP14" s="149">
        <v>1411</v>
      </c>
      <c r="CQ14" s="149">
        <v>1411</v>
      </c>
      <c r="CR14" s="149">
        <v>1411</v>
      </c>
      <c r="CS14" s="149">
        <v>1411</v>
      </c>
      <c r="CT14" s="150"/>
      <c r="CU14" s="150"/>
      <c r="CV14" s="150"/>
      <c r="CW14" s="151"/>
      <c r="CX14" s="152">
        <f t="array" ref="CX14">SUMPRODUCT(B14:CW14*0.25)</f>
        <v>15977.350000000002</v>
      </c>
    </row>
    <row r="15" spans="1:102" ht="24.95" customHeight="1" x14ac:dyDescent="0.2">
      <c r="A15" s="118" t="s">
        <v>33</v>
      </c>
      <c r="B15" s="14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50"/>
      <c r="CU15" s="150"/>
      <c r="CV15" s="150"/>
      <c r="CW15" s="151"/>
      <c r="CX15" s="152">
        <f t="array" ref="CX15">SUMPRODUCT(B15:CW15*0.25)</f>
        <v>0</v>
      </c>
    </row>
    <row r="16" spans="1:102" ht="24.95" customHeight="1" thickBot="1" x14ac:dyDescent="0.25">
      <c r="A16" s="153" t="s">
        <v>34</v>
      </c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>
        <v>249.2</v>
      </c>
      <c r="BO16" s="155">
        <v>249.2</v>
      </c>
      <c r="BP16" s="155">
        <v>249.2</v>
      </c>
      <c r="BQ16" s="155">
        <v>249.2</v>
      </c>
      <c r="BR16" s="155">
        <v>273.2</v>
      </c>
      <c r="BS16" s="155">
        <v>273.2</v>
      </c>
      <c r="BT16" s="155">
        <v>273.2</v>
      </c>
      <c r="BU16" s="155">
        <v>273.2</v>
      </c>
      <c r="BV16" s="155">
        <v>169.2</v>
      </c>
      <c r="BW16" s="155">
        <v>169.2</v>
      </c>
      <c r="BX16" s="155">
        <v>169.2</v>
      </c>
      <c r="BY16" s="155">
        <v>169.2</v>
      </c>
      <c r="BZ16" s="155">
        <v>320.7</v>
      </c>
      <c r="CA16" s="155">
        <v>320.7</v>
      </c>
      <c r="CB16" s="155">
        <v>320.7</v>
      </c>
      <c r="CC16" s="155">
        <v>320.7</v>
      </c>
      <c r="CD16" s="155">
        <v>500</v>
      </c>
      <c r="CE16" s="155">
        <v>500</v>
      </c>
      <c r="CF16" s="155">
        <v>500</v>
      </c>
      <c r="CG16" s="155">
        <v>500</v>
      </c>
      <c r="CH16" s="155">
        <v>234.7</v>
      </c>
      <c r="CI16" s="155">
        <v>234.7</v>
      </c>
      <c r="CJ16" s="155">
        <v>234.7</v>
      </c>
      <c r="CK16" s="155">
        <v>234.7</v>
      </c>
      <c r="CL16" s="155">
        <v>26</v>
      </c>
      <c r="CM16" s="155">
        <v>26</v>
      </c>
      <c r="CN16" s="155">
        <v>26</v>
      </c>
      <c r="CO16" s="155">
        <v>26</v>
      </c>
      <c r="CP16" s="155"/>
      <c r="CQ16" s="155"/>
      <c r="CR16" s="155"/>
      <c r="CS16" s="155"/>
      <c r="CT16" s="156"/>
      <c r="CU16" s="156"/>
      <c r="CV16" s="156"/>
      <c r="CW16" s="157"/>
      <c r="CX16" s="158">
        <f t="array" ref="CX16">SUMPRODUCT(B16:CW16*0.25)</f>
        <v>1772.9999999999995</v>
      </c>
    </row>
    <row r="17" spans="1:102" ht="30" customHeight="1" thickBot="1" x14ac:dyDescent="0.25">
      <c r="A17" s="105" t="s">
        <v>53</v>
      </c>
      <c r="B17" s="159">
        <f>SUM(B12:B16)</f>
        <v>0</v>
      </c>
      <c r="C17" s="160">
        <f t="shared" ref="C17:BN17" si="0">SUM(C12:C16)</f>
        <v>0</v>
      </c>
      <c r="D17" s="160">
        <f t="shared" si="0"/>
        <v>0</v>
      </c>
      <c r="E17" s="160">
        <f t="shared" si="0"/>
        <v>0</v>
      </c>
      <c r="F17" s="160">
        <f t="shared" si="0"/>
        <v>0</v>
      </c>
      <c r="G17" s="160">
        <f t="shared" si="0"/>
        <v>0</v>
      </c>
      <c r="H17" s="160">
        <f t="shared" si="0"/>
        <v>0</v>
      </c>
      <c r="I17" s="160">
        <f t="shared" si="0"/>
        <v>0</v>
      </c>
      <c r="J17" s="160">
        <f t="shared" si="0"/>
        <v>0</v>
      </c>
      <c r="K17" s="160">
        <f t="shared" si="0"/>
        <v>0</v>
      </c>
      <c r="L17" s="160">
        <f t="shared" si="0"/>
        <v>77.400000000000006</v>
      </c>
      <c r="M17" s="160">
        <f t="shared" si="0"/>
        <v>384.8</v>
      </c>
      <c r="N17" s="160">
        <f t="shared" si="0"/>
        <v>46.2</v>
      </c>
      <c r="O17" s="160">
        <f t="shared" si="0"/>
        <v>298.2</v>
      </c>
      <c r="P17" s="160">
        <f t="shared" si="0"/>
        <v>367.7</v>
      </c>
      <c r="Q17" s="160">
        <f t="shared" si="0"/>
        <v>286.60000000000002</v>
      </c>
      <c r="R17" s="160">
        <f t="shared" si="0"/>
        <v>541.5</v>
      </c>
      <c r="S17" s="160">
        <f t="shared" si="0"/>
        <v>543.29999999999995</v>
      </c>
      <c r="T17" s="160">
        <f t="shared" si="0"/>
        <v>470.7</v>
      </c>
      <c r="U17" s="160">
        <f t="shared" si="0"/>
        <v>494.9</v>
      </c>
      <c r="V17" s="160">
        <f t="shared" si="0"/>
        <v>576.29999999999995</v>
      </c>
      <c r="W17" s="160">
        <f t="shared" si="0"/>
        <v>602.29999999999995</v>
      </c>
      <c r="X17" s="160">
        <f t="shared" si="0"/>
        <v>502.8</v>
      </c>
      <c r="Y17" s="160">
        <f t="shared" si="0"/>
        <v>396.5</v>
      </c>
      <c r="Z17" s="160">
        <f t="shared" si="0"/>
        <v>948.3</v>
      </c>
      <c r="AA17" s="160">
        <f t="shared" si="0"/>
        <v>865</v>
      </c>
      <c r="AB17" s="160">
        <f t="shared" si="0"/>
        <v>800.7</v>
      </c>
      <c r="AC17" s="160">
        <f t="shared" si="0"/>
        <v>708.5</v>
      </c>
      <c r="AD17" s="160">
        <f t="shared" si="0"/>
        <v>659.4</v>
      </c>
      <c r="AE17" s="160">
        <f t="shared" si="0"/>
        <v>835.5</v>
      </c>
      <c r="AF17" s="160">
        <f t="shared" si="0"/>
        <v>713.4</v>
      </c>
      <c r="AG17" s="160">
        <f t="shared" si="0"/>
        <v>436.1</v>
      </c>
      <c r="AH17" s="160">
        <f t="shared" si="0"/>
        <v>336.7</v>
      </c>
      <c r="AI17" s="160">
        <f t="shared" si="0"/>
        <v>0</v>
      </c>
      <c r="AJ17" s="160">
        <f t="shared" si="0"/>
        <v>0</v>
      </c>
      <c r="AK17" s="160">
        <f t="shared" si="0"/>
        <v>0</v>
      </c>
      <c r="AL17" s="160">
        <f t="shared" si="0"/>
        <v>0</v>
      </c>
      <c r="AM17" s="160">
        <f t="shared" si="0"/>
        <v>0</v>
      </c>
      <c r="AN17" s="160">
        <f t="shared" si="0"/>
        <v>0</v>
      </c>
      <c r="AO17" s="160">
        <f t="shared" si="0"/>
        <v>0</v>
      </c>
      <c r="AP17" s="160">
        <f t="shared" si="0"/>
        <v>0</v>
      </c>
      <c r="AQ17" s="160">
        <f t="shared" si="0"/>
        <v>0</v>
      </c>
      <c r="AR17" s="160">
        <f t="shared" si="0"/>
        <v>0</v>
      </c>
      <c r="AS17" s="160">
        <f t="shared" si="0"/>
        <v>0</v>
      </c>
      <c r="AT17" s="160">
        <f t="shared" si="0"/>
        <v>0</v>
      </c>
      <c r="AU17" s="160">
        <f t="shared" si="0"/>
        <v>0</v>
      </c>
      <c r="AV17" s="160">
        <f t="shared" si="0"/>
        <v>0</v>
      </c>
      <c r="AW17" s="160">
        <f t="shared" si="0"/>
        <v>0</v>
      </c>
      <c r="AX17" s="160">
        <f t="shared" si="0"/>
        <v>0</v>
      </c>
      <c r="AY17" s="160">
        <f t="shared" si="0"/>
        <v>0</v>
      </c>
      <c r="AZ17" s="160">
        <f t="shared" si="0"/>
        <v>0</v>
      </c>
      <c r="BA17" s="160">
        <f t="shared" si="0"/>
        <v>0</v>
      </c>
      <c r="BB17" s="160">
        <f t="shared" si="0"/>
        <v>0</v>
      </c>
      <c r="BC17" s="160">
        <f t="shared" si="0"/>
        <v>0</v>
      </c>
      <c r="BD17" s="160">
        <f t="shared" si="0"/>
        <v>0</v>
      </c>
      <c r="BE17" s="160">
        <f t="shared" si="0"/>
        <v>246.6</v>
      </c>
      <c r="BF17" s="160">
        <f t="shared" si="0"/>
        <v>99.5</v>
      </c>
      <c r="BG17" s="160">
        <f t="shared" si="0"/>
        <v>423.1</v>
      </c>
      <c r="BH17" s="160">
        <f t="shared" si="0"/>
        <v>869.6</v>
      </c>
      <c r="BI17" s="160">
        <f t="shared" si="0"/>
        <v>1067.5999999999999</v>
      </c>
      <c r="BJ17" s="160">
        <f t="shared" si="0"/>
        <v>1411</v>
      </c>
      <c r="BK17" s="160">
        <f t="shared" si="0"/>
        <v>1411</v>
      </c>
      <c r="BL17" s="160">
        <f t="shared" si="0"/>
        <v>1327.5</v>
      </c>
      <c r="BM17" s="160">
        <f t="shared" si="0"/>
        <v>1211.2</v>
      </c>
      <c r="BN17" s="160">
        <f t="shared" si="0"/>
        <v>1451</v>
      </c>
      <c r="BO17" s="160">
        <f t="shared" ref="BO17:CW17" si="1">SUM(BO12:BO16)</f>
        <v>1617.9</v>
      </c>
      <c r="BP17" s="160">
        <f t="shared" si="1"/>
        <v>1580</v>
      </c>
      <c r="BQ17" s="160">
        <f t="shared" si="1"/>
        <v>1660.2</v>
      </c>
      <c r="BR17" s="160">
        <f t="shared" si="1"/>
        <v>1684.2</v>
      </c>
      <c r="BS17" s="160">
        <f t="shared" si="1"/>
        <v>1675.4</v>
      </c>
      <c r="BT17" s="160">
        <f t="shared" si="1"/>
        <v>1684.2</v>
      </c>
      <c r="BU17" s="160">
        <f t="shared" si="1"/>
        <v>1684.2</v>
      </c>
      <c r="BV17" s="160">
        <f t="shared" si="1"/>
        <v>1580.2</v>
      </c>
      <c r="BW17" s="160">
        <f t="shared" si="1"/>
        <v>1580.2</v>
      </c>
      <c r="BX17" s="160">
        <f t="shared" si="1"/>
        <v>1555.9</v>
      </c>
      <c r="BY17" s="160">
        <f t="shared" si="1"/>
        <v>1580.2</v>
      </c>
      <c r="BZ17" s="160">
        <f t="shared" si="1"/>
        <v>1731.7</v>
      </c>
      <c r="CA17" s="160">
        <f t="shared" si="1"/>
        <v>1714.6000000000001</v>
      </c>
      <c r="CB17" s="160">
        <f t="shared" si="1"/>
        <v>1731.7</v>
      </c>
      <c r="CC17" s="160">
        <f t="shared" si="1"/>
        <v>1731.7</v>
      </c>
      <c r="CD17" s="160">
        <f t="shared" si="1"/>
        <v>1911</v>
      </c>
      <c r="CE17" s="160">
        <f t="shared" si="1"/>
        <v>1911</v>
      </c>
      <c r="CF17" s="160">
        <f t="shared" si="1"/>
        <v>1911</v>
      </c>
      <c r="CG17" s="160">
        <f t="shared" si="1"/>
        <v>1897.3</v>
      </c>
      <c r="CH17" s="160">
        <f t="shared" si="1"/>
        <v>1645.7</v>
      </c>
      <c r="CI17" s="160">
        <f t="shared" si="1"/>
        <v>1645.7</v>
      </c>
      <c r="CJ17" s="160">
        <f t="shared" si="1"/>
        <v>1645.7</v>
      </c>
      <c r="CK17" s="160">
        <f t="shared" si="1"/>
        <v>1645.7</v>
      </c>
      <c r="CL17" s="160">
        <f t="shared" si="1"/>
        <v>1437</v>
      </c>
      <c r="CM17" s="160">
        <f t="shared" si="1"/>
        <v>1162.5999999999999</v>
      </c>
      <c r="CN17" s="160">
        <f t="shared" si="1"/>
        <v>1202.4000000000001</v>
      </c>
      <c r="CO17" s="160">
        <f t="shared" si="1"/>
        <v>1139.0999999999999</v>
      </c>
      <c r="CP17" s="160">
        <f t="shared" si="1"/>
        <v>1411</v>
      </c>
      <c r="CQ17" s="160">
        <f t="shared" si="1"/>
        <v>1411</v>
      </c>
      <c r="CR17" s="160">
        <f t="shared" si="1"/>
        <v>1411</v>
      </c>
      <c r="CS17" s="160">
        <f t="shared" si="1"/>
        <v>1411</v>
      </c>
      <c r="CT17" s="161">
        <f t="shared" si="1"/>
        <v>0</v>
      </c>
      <c r="CU17" s="161">
        <f t="shared" si="1"/>
        <v>0</v>
      </c>
      <c r="CV17" s="161">
        <f t="shared" si="1"/>
        <v>0</v>
      </c>
      <c r="CW17" s="162">
        <f t="shared" si="1"/>
        <v>0</v>
      </c>
      <c r="CX17" s="110">
        <f>SUM(CX12:CX16)</f>
        <v>17750.350000000002</v>
      </c>
    </row>
    <row r="18" spans="1:102" ht="18" customHeight="1" thickBot="1" x14ac:dyDescent="0.25">
      <c r="A18" s="123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</row>
    <row r="19" spans="1:102" ht="30" customHeight="1" thickBot="1" x14ac:dyDescent="0.25">
      <c r="A19" s="85" t="s">
        <v>49</v>
      </c>
      <c r="B19" s="111">
        <v>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2"/>
      <c r="CX19" s="113"/>
    </row>
    <row r="20" spans="1:102" ht="24.95" customHeight="1" x14ac:dyDescent="0.2">
      <c r="A20" s="86" t="s">
        <v>43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  <c r="CI20" s="144"/>
      <c r="CJ20" s="144"/>
      <c r="CK20" s="144"/>
      <c r="CL20" s="144"/>
      <c r="CM20" s="144"/>
      <c r="CN20" s="144"/>
      <c r="CO20" s="144"/>
      <c r="CP20" s="144"/>
      <c r="CQ20" s="144"/>
      <c r="CR20" s="144"/>
      <c r="CS20" s="144"/>
      <c r="CT20" s="145"/>
      <c r="CU20" s="145"/>
      <c r="CV20" s="145"/>
      <c r="CW20" s="146"/>
      <c r="CX20" s="147">
        <f t="array" ref="CX20">SUMPRODUCT(B20:CW20*0.25)</f>
        <v>0</v>
      </c>
    </row>
    <row r="21" spans="1:102" ht="24.95" customHeight="1" x14ac:dyDescent="0.2">
      <c r="A21" s="118" t="s">
        <v>44</v>
      </c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50"/>
      <c r="CU21" s="150"/>
      <c r="CV21" s="150"/>
      <c r="CW21" s="151"/>
      <c r="CX21" s="152">
        <f t="array" ref="CX21">SUMPRODUCT(B21:CW21*0.25)</f>
        <v>0</v>
      </c>
    </row>
    <row r="22" spans="1:102" ht="24.95" customHeight="1" x14ac:dyDescent="0.2">
      <c r="A22" s="118" t="s">
        <v>45</v>
      </c>
      <c r="B22" s="148">
        <v>526.70000000000005</v>
      </c>
      <c r="C22" s="149">
        <v>534.6</v>
      </c>
      <c r="D22" s="149">
        <v>293.3</v>
      </c>
      <c r="E22" s="149">
        <v>29.2</v>
      </c>
      <c r="F22" s="149">
        <v>491.3</v>
      </c>
      <c r="G22" s="149">
        <v>266.5</v>
      </c>
      <c r="H22" s="149">
        <v>185.6</v>
      </c>
      <c r="I22" s="149">
        <v>157.30000000000001</v>
      </c>
      <c r="J22" s="149">
        <v>229</v>
      </c>
      <c r="K22" s="149">
        <v>13.7</v>
      </c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>
        <v>61.6</v>
      </c>
      <c r="AJ22" s="149">
        <v>459</v>
      </c>
      <c r="AK22" s="149">
        <v>739.3</v>
      </c>
      <c r="AL22" s="149">
        <v>540.6</v>
      </c>
      <c r="AM22" s="149">
        <v>664.1</v>
      </c>
      <c r="AN22" s="149">
        <v>633.29999999999995</v>
      </c>
      <c r="AO22" s="149">
        <v>777.1</v>
      </c>
      <c r="AP22" s="149">
        <v>778.4</v>
      </c>
      <c r="AQ22" s="149">
        <v>789.1</v>
      </c>
      <c r="AR22" s="149">
        <v>836.5</v>
      </c>
      <c r="AS22" s="149">
        <v>817</v>
      </c>
      <c r="AT22" s="149">
        <v>837.2</v>
      </c>
      <c r="AU22" s="149">
        <v>718.8</v>
      </c>
      <c r="AV22" s="149">
        <v>653.29999999999995</v>
      </c>
      <c r="AW22" s="149">
        <v>604.1</v>
      </c>
      <c r="AX22" s="149">
        <v>575.5</v>
      </c>
      <c r="AY22" s="149">
        <v>488.3</v>
      </c>
      <c r="AZ22" s="149">
        <v>398.2</v>
      </c>
      <c r="BA22" s="149">
        <v>288.7</v>
      </c>
      <c r="BB22" s="149">
        <v>235.2</v>
      </c>
      <c r="BC22" s="149">
        <v>19.7</v>
      </c>
      <c r="BD22" s="149">
        <v>1.7</v>
      </c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50"/>
      <c r="CU22" s="150"/>
      <c r="CV22" s="150"/>
      <c r="CW22" s="151"/>
      <c r="CX22" s="152">
        <f t="array" ref="CX22">SUMPRODUCT(B22:CW22*0.25)</f>
        <v>3660.9750000000008</v>
      </c>
    </row>
    <row r="23" spans="1:102" ht="24.95" customHeight="1" x14ac:dyDescent="0.2">
      <c r="A23" s="118" t="s">
        <v>46</v>
      </c>
      <c r="B23" s="148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50"/>
      <c r="CU23" s="150"/>
      <c r="CV23" s="150"/>
      <c r="CW23" s="151"/>
      <c r="CX23" s="152">
        <f t="array" ref="CX23">SUMPRODUCT(B23:CW23*0.25)</f>
        <v>0</v>
      </c>
    </row>
    <row r="24" spans="1:102" ht="24.95" customHeight="1" thickBot="1" x14ac:dyDescent="0.25">
      <c r="A24" s="153" t="s">
        <v>47</v>
      </c>
      <c r="B24" s="154">
        <v>500</v>
      </c>
      <c r="C24" s="155">
        <v>500</v>
      </c>
      <c r="D24" s="155">
        <v>500</v>
      </c>
      <c r="E24" s="155">
        <v>500</v>
      </c>
      <c r="F24" s="155">
        <v>500</v>
      </c>
      <c r="G24" s="155">
        <v>500</v>
      </c>
      <c r="H24" s="155">
        <v>500</v>
      </c>
      <c r="I24" s="155">
        <v>500</v>
      </c>
      <c r="J24" s="155">
        <v>500</v>
      </c>
      <c r="K24" s="155">
        <v>500</v>
      </c>
      <c r="L24" s="155">
        <v>500</v>
      </c>
      <c r="M24" s="155">
        <v>500</v>
      </c>
      <c r="N24" s="155">
        <v>500</v>
      </c>
      <c r="O24" s="155">
        <v>500</v>
      </c>
      <c r="P24" s="155">
        <v>500</v>
      </c>
      <c r="Q24" s="155">
        <v>500</v>
      </c>
      <c r="R24" s="155">
        <v>500</v>
      </c>
      <c r="S24" s="155">
        <v>500</v>
      </c>
      <c r="T24" s="155">
        <v>500</v>
      </c>
      <c r="U24" s="155">
        <v>500</v>
      </c>
      <c r="V24" s="155">
        <v>500</v>
      </c>
      <c r="W24" s="155">
        <v>500</v>
      </c>
      <c r="X24" s="155">
        <v>500</v>
      </c>
      <c r="Y24" s="155">
        <v>500</v>
      </c>
      <c r="Z24" s="155">
        <v>500</v>
      </c>
      <c r="AA24" s="155">
        <v>500</v>
      </c>
      <c r="AB24" s="155">
        <v>500</v>
      </c>
      <c r="AC24" s="155">
        <v>500</v>
      </c>
      <c r="AD24" s="155">
        <v>500</v>
      </c>
      <c r="AE24" s="155">
        <v>500</v>
      </c>
      <c r="AF24" s="155">
        <v>500</v>
      </c>
      <c r="AG24" s="155">
        <v>500</v>
      </c>
      <c r="AH24" s="155">
        <v>500</v>
      </c>
      <c r="AI24" s="155">
        <v>500</v>
      </c>
      <c r="AJ24" s="155">
        <v>500</v>
      </c>
      <c r="AK24" s="155">
        <v>500</v>
      </c>
      <c r="AL24" s="155">
        <v>500</v>
      </c>
      <c r="AM24" s="155">
        <v>500</v>
      </c>
      <c r="AN24" s="155">
        <v>500</v>
      </c>
      <c r="AO24" s="155">
        <v>500</v>
      </c>
      <c r="AP24" s="155">
        <v>500</v>
      </c>
      <c r="AQ24" s="155">
        <v>500</v>
      </c>
      <c r="AR24" s="155">
        <v>500</v>
      </c>
      <c r="AS24" s="155">
        <v>500</v>
      </c>
      <c r="AT24" s="155">
        <v>500</v>
      </c>
      <c r="AU24" s="155">
        <v>500</v>
      </c>
      <c r="AV24" s="155">
        <v>500</v>
      </c>
      <c r="AW24" s="155">
        <v>500</v>
      </c>
      <c r="AX24" s="155">
        <v>500</v>
      </c>
      <c r="AY24" s="155">
        <v>500</v>
      </c>
      <c r="AZ24" s="155">
        <v>500</v>
      </c>
      <c r="BA24" s="155">
        <v>500</v>
      </c>
      <c r="BB24" s="155">
        <v>500</v>
      </c>
      <c r="BC24" s="155">
        <v>500</v>
      </c>
      <c r="BD24" s="155">
        <v>500</v>
      </c>
      <c r="BE24" s="155">
        <v>500</v>
      </c>
      <c r="BF24" s="155">
        <v>500</v>
      </c>
      <c r="BG24" s="155">
        <v>500</v>
      </c>
      <c r="BH24" s="155">
        <v>500</v>
      </c>
      <c r="BI24" s="155">
        <v>500</v>
      </c>
      <c r="BJ24" s="155">
        <v>500</v>
      </c>
      <c r="BK24" s="155">
        <v>500</v>
      </c>
      <c r="BL24" s="155">
        <v>500</v>
      </c>
      <c r="BM24" s="155">
        <v>500</v>
      </c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  <c r="CJ24" s="155"/>
      <c r="CK24" s="155"/>
      <c r="CL24" s="155"/>
      <c r="CM24" s="155"/>
      <c r="CN24" s="155"/>
      <c r="CO24" s="155"/>
      <c r="CP24" s="155">
        <v>500</v>
      </c>
      <c r="CQ24" s="155">
        <v>500</v>
      </c>
      <c r="CR24" s="155">
        <v>500</v>
      </c>
      <c r="CS24" s="155">
        <v>500</v>
      </c>
      <c r="CT24" s="156"/>
      <c r="CU24" s="156"/>
      <c r="CV24" s="156"/>
      <c r="CW24" s="157"/>
      <c r="CX24" s="158">
        <f t="array" ref="CX24">SUMPRODUCT(B24:CW24*0.25)</f>
        <v>8500</v>
      </c>
    </row>
    <row r="25" spans="1:102" ht="30" customHeight="1" thickBot="1" x14ac:dyDescent="0.25">
      <c r="A25" s="105" t="s">
        <v>51</v>
      </c>
      <c r="B25" s="159">
        <f>SUM(B20:B24)</f>
        <v>1026.7</v>
      </c>
      <c r="C25" s="160">
        <f t="shared" ref="C25:BN25" si="2">SUM(C20:C24)</f>
        <v>1034.5999999999999</v>
      </c>
      <c r="D25" s="160">
        <f t="shared" si="2"/>
        <v>793.3</v>
      </c>
      <c r="E25" s="160">
        <f t="shared" si="2"/>
        <v>529.20000000000005</v>
      </c>
      <c r="F25" s="160">
        <f t="shared" si="2"/>
        <v>991.3</v>
      </c>
      <c r="G25" s="160">
        <f t="shared" si="2"/>
        <v>766.5</v>
      </c>
      <c r="H25" s="160">
        <f t="shared" si="2"/>
        <v>685.6</v>
      </c>
      <c r="I25" s="160">
        <f t="shared" si="2"/>
        <v>657.3</v>
      </c>
      <c r="J25" s="160">
        <f t="shared" si="2"/>
        <v>729</v>
      </c>
      <c r="K25" s="160">
        <f t="shared" si="2"/>
        <v>513.70000000000005</v>
      </c>
      <c r="L25" s="160">
        <f t="shared" si="2"/>
        <v>500</v>
      </c>
      <c r="M25" s="160">
        <f t="shared" si="2"/>
        <v>500</v>
      </c>
      <c r="N25" s="160">
        <f t="shared" si="2"/>
        <v>500</v>
      </c>
      <c r="O25" s="160">
        <f t="shared" si="2"/>
        <v>500</v>
      </c>
      <c r="P25" s="160">
        <f t="shared" si="2"/>
        <v>500</v>
      </c>
      <c r="Q25" s="160">
        <f t="shared" si="2"/>
        <v>500</v>
      </c>
      <c r="R25" s="160">
        <f t="shared" si="2"/>
        <v>500</v>
      </c>
      <c r="S25" s="160">
        <f t="shared" si="2"/>
        <v>500</v>
      </c>
      <c r="T25" s="160">
        <f t="shared" si="2"/>
        <v>500</v>
      </c>
      <c r="U25" s="160">
        <f t="shared" si="2"/>
        <v>500</v>
      </c>
      <c r="V25" s="160">
        <f t="shared" si="2"/>
        <v>500</v>
      </c>
      <c r="W25" s="160">
        <f t="shared" si="2"/>
        <v>500</v>
      </c>
      <c r="X25" s="160">
        <f t="shared" si="2"/>
        <v>500</v>
      </c>
      <c r="Y25" s="160">
        <f t="shared" si="2"/>
        <v>500</v>
      </c>
      <c r="Z25" s="160">
        <f t="shared" si="2"/>
        <v>500</v>
      </c>
      <c r="AA25" s="160">
        <f t="shared" si="2"/>
        <v>500</v>
      </c>
      <c r="AB25" s="160">
        <f t="shared" si="2"/>
        <v>500</v>
      </c>
      <c r="AC25" s="160">
        <f t="shared" si="2"/>
        <v>500</v>
      </c>
      <c r="AD25" s="160">
        <f t="shared" si="2"/>
        <v>500</v>
      </c>
      <c r="AE25" s="160">
        <f t="shared" si="2"/>
        <v>500</v>
      </c>
      <c r="AF25" s="160">
        <f t="shared" si="2"/>
        <v>500</v>
      </c>
      <c r="AG25" s="160">
        <f t="shared" si="2"/>
        <v>500</v>
      </c>
      <c r="AH25" s="160">
        <f t="shared" si="2"/>
        <v>500</v>
      </c>
      <c r="AI25" s="160">
        <f t="shared" si="2"/>
        <v>561.6</v>
      </c>
      <c r="AJ25" s="160">
        <f t="shared" si="2"/>
        <v>959</v>
      </c>
      <c r="AK25" s="160">
        <f t="shared" si="2"/>
        <v>1239.3</v>
      </c>
      <c r="AL25" s="160">
        <f t="shared" si="2"/>
        <v>1040.5999999999999</v>
      </c>
      <c r="AM25" s="160">
        <f t="shared" si="2"/>
        <v>1164.0999999999999</v>
      </c>
      <c r="AN25" s="160">
        <f t="shared" si="2"/>
        <v>1133.3</v>
      </c>
      <c r="AO25" s="160">
        <f t="shared" si="2"/>
        <v>1277.0999999999999</v>
      </c>
      <c r="AP25" s="160">
        <f t="shared" si="2"/>
        <v>1278.4000000000001</v>
      </c>
      <c r="AQ25" s="160">
        <f t="shared" si="2"/>
        <v>1289.0999999999999</v>
      </c>
      <c r="AR25" s="160">
        <f t="shared" si="2"/>
        <v>1336.5</v>
      </c>
      <c r="AS25" s="160">
        <f t="shared" si="2"/>
        <v>1317</v>
      </c>
      <c r="AT25" s="160">
        <f t="shared" si="2"/>
        <v>1337.2</v>
      </c>
      <c r="AU25" s="160">
        <f t="shared" si="2"/>
        <v>1218.8</v>
      </c>
      <c r="AV25" s="160">
        <f t="shared" si="2"/>
        <v>1153.3</v>
      </c>
      <c r="AW25" s="160">
        <f t="shared" si="2"/>
        <v>1104.0999999999999</v>
      </c>
      <c r="AX25" s="160">
        <f t="shared" si="2"/>
        <v>1075.5</v>
      </c>
      <c r="AY25" s="160">
        <f t="shared" si="2"/>
        <v>988.3</v>
      </c>
      <c r="AZ25" s="160">
        <f t="shared" si="2"/>
        <v>898.2</v>
      </c>
      <c r="BA25" s="160">
        <f t="shared" si="2"/>
        <v>788.7</v>
      </c>
      <c r="BB25" s="160">
        <f t="shared" si="2"/>
        <v>735.2</v>
      </c>
      <c r="BC25" s="160">
        <f t="shared" si="2"/>
        <v>519.70000000000005</v>
      </c>
      <c r="BD25" s="160">
        <f t="shared" si="2"/>
        <v>501.7</v>
      </c>
      <c r="BE25" s="160">
        <f t="shared" si="2"/>
        <v>500</v>
      </c>
      <c r="BF25" s="160">
        <f t="shared" si="2"/>
        <v>500</v>
      </c>
      <c r="BG25" s="160">
        <f t="shared" si="2"/>
        <v>500</v>
      </c>
      <c r="BH25" s="160">
        <f t="shared" si="2"/>
        <v>500</v>
      </c>
      <c r="BI25" s="160">
        <f t="shared" si="2"/>
        <v>500</v>
      </c>
      <c r="BJ25" s="160">
        <f t="shared" si="2"/>
        <v>500</v>
      </c>
      <c r="BK25" s="160">
        <f t="shared" si="2"/>
        <v>500</v>
      </c>
      <c r="BL25" s="160">
        <f t="shared" si="2"/>
        <v>500</v>
      </c>
      <c r="BM25" s="160">
        <f t="shared" si="2"/>
        <v>500</v>
      </c>
      <c r="BN25" s="160">
        <f t="shared" si="2"/>
        <v>0</v>
      </c>
      <c r="BO25" s="160">
        <f t="shared" ref="BO25:CW25" si="3">SUM(BO20:BO24)</f>
        <v>0</v>
      </c>
      <c r="BP25" s="160">
        <f t="shared" si="3"/>
        <v>0</v>
      </c>
      <c r="BQ25" s="160">
        <f t="shared" si="3"/>
        <v>0</v>
      </c>
      <c r="BR25" s="160">
        <f t="shared" si="3"/>
        <v>0</v>
      </c>
      <c r="BS25" s="160">
        <f t="shared" si="3"/>
        <v>0</v>
      </c>
      <c r="BT25" s="160">
        <f t="shared" si="3"/>
        <v>0</v>
      </c>
      <c r="BU25" s="160">
        <f t="shared" si="3"/>
        <v>0</v>
      </c>
      <c r="BV25" s="160">
        <f t="shared" si="3"/>
        <v>0</v>
      </c>
      <c r="BW25" s="160">
        <f t="shared" si="3"/>
        <v>0</v>
      </c>
      <c r="BX25" s="160">
        <f t="shared" si="3"/>
        <v>0</v>
      </c>
      <c r="BY25" s="160">
        <f t="shared" si="3"/>
        <v>0</v>
      </c>
      <c r="BZ25" s="160">
        <f t="shared" si="3"/>
        <v>0</v>
      </c>
      <c r="CA25" s="160">
        <f t="shared" si="3"/>
        <v>0</v>
      </c>
      <c r="CB25" s="160">
        <f t="shared" si="3"/>
        <v>0</v>
      </c>
      <c r="CC25" s="160">
        <f t="shared" si="3"/>
        <v>0</v>
      </c>
      <c r="CD25" s="160">
        <f t="shared" si="3"/>
        <v>0</v>
      </c>
      <c r="CE25" s="160">
        <f t="shared" si="3"/>
        <v>0</v>
      </c>
      <c r="CF25" s="160">
        <f t="shared" si="3"/>
        <v>0</v>
      </c>
      <c r="CG25" s="160">
        <f t="shared" si="3"/>
        <v>0</v>
      </c>
      <c r="CH25" s="160">
        <f t="shared" si="3"/>
        <v>0</v>
      </c>
      <c r="CI25" s="160">
        <f t="shared" si="3"/>
        <v>0</v>
      </c>
      <c r="CJ25" s="160">
        <f t="shared" si="3"/>
        <v>0</v>
      </c>
      <c r="CK25" s="160">
        <f t="shared" si="3"/>
        <v>0</v>
      </c>
      <c r="CL25" s="160">
        <f t="shared" si="3"/>
        <v>0</v>
      </c>
      <c r="CM25" s="160">
        <f t="shared" si="3"/>
        <v>0</v>
      </c>
      <c r="CN25" s="160">
        <f t="shared" si="3"/>
        <v>0</v>
      </c>
      <c r="CO25" s="160">
        <f t="shared" si="3"/>
        <v>0</v>
      </c>
      <c r="CP25" s="160">
        <f t="shared" si="3"/>
        <v>500</v>
      </c>
      <c r="CQ25" s="160">
        <f t="shared" si="3"/>
        <v>500</v>
      </c>
      <c r="CR25" s="160">
        <f t="shared" si="3"/>
        <v>500</v>
      </c>
      <c r="CS25" s="160">
        <f t="shared" si="3"/>
        <v>500</v>
      </c>
      <c r="CT25" s="161">
        <f t="shared" si="3"/>
        <v>0</v>
      </c>
      <c r="CU25" s="161">
        <f t="shared" si="3"/>
        <v>0</v>
      </c>
      <c r="CV25" s="161">
        <f t="shared" si="3"/>
        <v>0</v>
      </c>
      <c r="CW25" s="162">
        <f t="shared" si="3"/>
        <v>0</v>
      </c>
      <c r="CX25" s="110">
        <f>SUM(CX20:CX24)</f>
        <v>12160.975</v>
      </c>
    </row>
    <row r="26" spans="1:102" ht="15.95" customHeight="1" x14ac:dyDescent="0.2"/>
    <row r="29" spans="1:102" x14ac:dyDescent="0.2">
      <c r="B29" s="163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X29" s="164"/>
    </row>
    <row r="32" spans="1:102" x14ac:dyDescent="0.2">
      <c r="CD32" s="165"/>
    </row>
  </sheetData>
  <mergeCells count="30">
    <mergeCell ref="CT2:CW2"/>
    <mergeCell ref="B4:CX4"/>
    <mergeCell ref="B7:CX7"/>
    <mergeCell ref="B10:CX10"/>
    <mergeCell ref="B11:CX11"/>
    <mergeCell ref="B19:CX19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pageMargins left="0.15748031496062992" right="0.19685039370078741" top="0.39370078740157483" bottom="0.43307086614173229" header="0.19685039370078741" footer="0.19685039370078741"/>
  <pageSetup scale="38" fitToWidth="4" fitToHeight="4" orientation="landscape" horizontalDpi="300" verticalDpi="300" r:id="rId1"/>
  <headerFooter>
    <oddHeader>&amp;L&amp;12&amp;K000000&amp;A</oddHeader>
    <oddFooter>&amp;R&amp;12&amp;D,&amp;T</oddFooter>
  </headerFooter>
  <colBreaks count="3" manualBreakCount="3">
    <brk id="25" max="25" man="1"/>
    <brk id="49" max="25" man="1"/>
    <brk id="73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81</vt:i4>
      </vt:variant>
    </vt:vector>
  </HeadingPairs>
  <TitlesOfParts>
    <vt:vector size="86" baseType="lpstr">
      <vt:lpstr>SPOT_Summary (SELL)</vt:lpstr>
      <vt:lpstr>SPOT_Summary (BUY)</vt:lpstr>
      <vt:lpstr>MKT_Coupling</vt:lpstr>
      <vt:lpstr>Summary_Chart (SELL)</vt:lpstr>
      <vt:lpstr>Summary_Chart (BUY)</vt:lpstr>
      <vt:lpstr>BRD_EXP_NAMES_DAM_CPL</vt:lpstr>
      <vt:lpstr>BRD_EXP_NAMES_SUM_BUY</vt:lpstr>
      <vt:lpstr>BRD_EXP_NAMES_SUM_BUY_CPL</vt:lpstr>
      <vt:lpstr>BRD_EXP_VALUES_DAM_CPL</vt:lpstr>
      <vt:lpstr>BRD_EXP_VALUES_SUM_BUY</vt:lpstr>
      <vt:lpstr>BRD_EXP_VALUES_SUM_BUY_CPL</vt:lpstr>
      <vt:lpstr>BRD_IMP_NAMES_DAM_CPL</vt:lpstr>
      <vt:lpstr>BRD_IMP_NAMES_SUM_SELL</vt:lpstr>
      <vt:lpstr>BRD_IMP_NAMES_SUM_SELL_CPL</vt:lpstr>
      <vt:lpstr>BRD_IMP_VALUES_DAM_CPL</vt:lpstr>
      <vt:lpstr>BRD_IMP_VALUES_SUM_SELL</vt:lpstr>
      <vt:lpstr>BRD_IMP_VALUES_SUM_SELL_CPL</vt:lpstr>
      <vt:lpstr>BUY_ORDERS_NAMES_SUM_BUY</vt:lpstr>
      <vt:lpstr>BUY_ORDERS_VALUES_SUM_BUY</vt:lpstr>
      <vt:lpstr>DAM_CPL_PUB_TIME</vt:lpstr>
      <vt:lpstr>DEM_UNITS_CRT_VALUES_SUM_BUY</vt:lpstr>
      <vt:lpstr>DEM_UNITS_CRT_VALUES_SUM_SELL</vt:lpstr>
      <vt:lpstr>DEM_UNITS_DRS_VALUES_SUM_BUY</vt:lpstr>
      <vt:lpstr>DEM_UNITS_DRS_VALUES_SUM_SELL</vt:lpstr>
      <vt:lpstr>DEM_UNITS_HVL_VALUES_SUM_BUY</vt:lpstr>
      <vt:lpstr>DEM_UNITS_HVL_VALUES_SUM_SELL</vt:lpstr>
      <vt:lpstr>DEM_UNITS_LVL_VALUES_SUM_BUY</vt:lpstr>
      <vt:lpstr>DEM_UNITS_LVL_VALUES_SUM_SELL</vt:lpstr>
      <vt:lpstr>DEM_UNITS_MVL_VALUES_SUM_BUY</vt:lpstr>
      <vt:lpstr>DEM_UNITS_MVL_VALUES_SUM_SELL</vt:lpstr>
      <vt:lpstr>DEM_UNITS_PMP_VALUES_SUM_BUY</vt:lpstr>
      <vt:lpstr>DEM_UNITS_PMP_VALUES_SUM_SELL</vt:lpstr>
      <vt:lpstr>DEM_UNITS_SLL_VALUES_SUM_BUY</vt:lpstr>
      <vt:lpstr>DEM_UNITS_SLL_VALUES_SUM_SELL</vt:lpstr>
      <vt:lpstr>DEMAND_NAMES_SUM_BUY</vt:lpstr>
      <vt:lpstr>DEMAND_NAMES_SUM_SELL</vt:lpstr>
      <vt:lpstr>DEMAND_VALUES_SUM_BUY</vt:lpstr>
      <vt:lpstr>DEMAND_VALUES_SUM_SELL</vt:lpstr>
      <vt:lpstr>GR_MAINLAND_MCP_DAM_CPL</vt:lpstr>
      <vt:lpstr>GR_MAINLAND_MCP_DAM_CPL_60MIN</vt:lpstr>
      <vt:lpstr>GR_MAINLAND_MCP_SUM_BUY</vt:lpstr>
      <vt:lpstr>GR_MAINLAND_MCP_SUM_BUY_60MIN</vt:lpstr>
      <vt:lpstr>GR_MAINLAND_MCP_SUM_SELL</vt:lpstr>
      <vt:lpstr>GR_MAINLAND_MCP_SUM_SELL_60MIN</vt:lpstr>
      <vt:lpstr>HRs_MKT_DAM_COUPLING</vt:lpstr>
      <vt:lpstr>HRs_MKT_SUM_BUY</vt:lpstr>
      <vt:lpstr>HRs_MKT_SUM_SELL</vt:lpstr>
      <vt:lpstr>MKT_DAM_COUPLING_DELIVERY_DAY</vt:lpstr>
      <vt:lpstr>MKT_DAM_COUPLING_TITLE</vt:lpstr>
      <vt:lpstr>MKT_SUM_BUY_DELIVERY_DAY</vt:lpstr>
      <vt:lpstr>MKT_SUM_BUY_TITLE</vt:lpstr>
      <vt:lpstr>MKT_SUM_SELL_DELIVERY_DAY</vt:lpstr>
      <vt:lpstr>MKT_SUM_SELL_TITLE</vt:lpstr>
      <vt:lpstr>MTUs_MKT_DAM_COUPLING</vt:lpstr>
      <vt:lpstr>MTUs_MKT_SUM_BUY</vt:lpstr>
      <vt:lpstr>MTUs_MKT_SUM_SELL</vt:lpstr>
      <vt:lpstr>NET_POSITION_GR_MAINLAND_DAM_CPL</vt:lpstr>
      <vt:lpstr>MKT_Coupling!Print_Area</vt:lpstr>
      <vt:lpstr>'SPOT_Summary (BUY)'!Print_Area</vt:lpstr>
      <vt:lpstr>'SPOT_Summary (SELL)'!Print_Area</vt:lpstr>
      <vt:lpstr>MKT_Coupling!Print_Titles</vt:lpstr>
      <vt:lpstr>'SPOT_Summary (BUY)'!Print_Titles</vt:lpstr>
      <vt:lpstr>'SPOT_Summary (SELL)'!Print_Titles</vt:lpstr>
      <vt:lpstr>SELL_ORDERS_NAMES_SUM_SELL</vt:lpstr>
      <vt:lpstr>SELL_ORDERS_VALUES_SUM_SELL</vt:lpstr>
      <vt:lpstr>TOT_DEMAND_GR_MAINLAND_SUM_BUY</vt:lpstr>
      <vt:lpstr>TOT_SUM_BUY_PUB_TIME</vt:lpstr>
      <vt:lpstr>TOT_SUM_SELL_PUB_TIME</vt:lpstr>
      <vt:lpstr>TOT_SUPPLY_GR_MAINLAND_SUM_SELL</vt:lpstr>
      <vt:lpstr>UNITS_CRT_VALUES_SUM_BUY</vt:lpstr>
      <vt:lpstr>UNITS_CRT_VALUES_SUM_SELL</vt:lpstr>
      <vt:lpstr>UNITS_CRTRES_VALUES_SUM_BUY</vt:lpstr>
      <vt:lpstr>UNITS_CRTRES_VALUES_SUM_SELL</vt:lpstr>
      <vt:lpstr>UNITS_GAS_VALUES_SUM_BUY</vt:lpstr>
      <vt:lpstr>UNITS_GAS_VALUES_SUM_SELL</vt:lpstr>
      <vt:lpstr>UNITS_HDR_VALUES_SUM_BUY</vt:lpstr>
      <vt:lpstr>UNITS_HDR_VALUES_SUM_SELL</vt:lpstr>
      <vt:lpstr>UNITS_IMP_VALUES_SUM_SELL</vt:lpstr>
      <vt:lpstr>UNITS_LIG_VALUES_SUM_BUY</vt:lpstr>
      <vt:lpstr>UNITS_LIG_VALUES_SUM_SELL</vt:lpstr>
      <vt:lpstr>UNITS_NAMES_SUM_BUY</vt:lpstr>
      <vt:lpstr>UNITS_NAMES_SUM_SELL</vt:lpstr>
      <vt:lpstr>UNITS_RES_VALUES_SUM_BUY</vt:lpstr>
      <vt:lpstr>UNITS_RES_VALUES_SUM_SELL</vt:lpstr>
      <vt:lpstr>UNITS_VALUES_SUM_BUY</vt:lpstr>
      <vt:lpstr>UNITS_VALUES_SUM_SELL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MarketOperator1</dc:creator>
  <cp:lastModifiedBy>MarketOperator1</cp:lastModifiedBy>
  <dcterms:created xsi:type="dcterms:W3CDTF">2026-01-20T16:20:31Z</dcterms:created>
  <dcterms:modified xsi:type="dcterms:W3CDTF">2026-01-20T16:20:33Z</dcterms:modified>
</cp:coreProperties>
</file>