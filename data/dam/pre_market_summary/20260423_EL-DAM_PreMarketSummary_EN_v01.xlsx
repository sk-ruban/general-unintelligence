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DaM\"/>
    </mc:Choice>
  </mc:AlternateContent>
  <bookViews>
    <workbookView xWindow="0" yWindow="0" windowWidth="28800" windowHeight="12030"/>
  </bookViews>
  <sheets>
    <sheet name="Pre-Market Data" sheetId="4" r:id="rId1"/>
  </sheets>
  <definedNames>
    <definedName name="BRD_EXP_PPTs_NAMES_SUMMARY">'Pre-Market Data'!$A$37:$A$41</definedName>
    <definedName name="BRD_EXP_PPTs_VALUES_SUMMARY">'Pre-Market Data'!$B$37:$CW$41</definedName>
    <definedName name="BRD_IMP_PPTs_NAMES_SUMMARY">'Pre-Market Data'!$A$30:$A$34</definedName>
    <definedName name="BRD_IMP_PPTs_VALUES_SUMMARY">'Pre-Market Data'!$B$30:$CW$34</definedName>
    <definedName name="DEMAND_NAMES_PPTs_SUMMARY">'Pre-Market Data'!$A$20:$A$26</definedName>
    <definedName name="DEMAND_PPTs_VALUES_SUMMARY">'Pre-Market Data'!$B$20:$CW$26</definedName>
    <definedName name="HRs_MKT_PREMARKET">'Pre-Market Data'!$B$2:$CW$2</definedName>
    <definedName name="MKT_PREMARKET_DELIVERY_DAY">'Pre-Market Data'!$A$3</definedName>
    <definedName name="MTUs_MKT_PREMARKET">'Pre-Market Data'!$B$3:$CW$3</definedName>
    <definedName name="_xlnm.Print_Area" localSheetId="0">'Pre-Market Data'!$A$1:$CX$42</definedName>
    <definedName name="_xlnm.Print_Titles" localSheetId="0">'Pre-Market Data'!$A:$A,'Pre-Market Data'!$1:$3</definedName>
    <definedName name="TOT_DEMAND_PPTs_MAINLAND_SUMMARY">'Pre-Market Data'!$B$5:$CW$5</definedName>
    <definedName name="TOT_SUM_PPT_PUB_TIME">'Pre-Market Data'!$N$1</definedName>
    <definedName name="TOT_SUPPLY_PPTs_MAINLAND_SUMMARY">'Pre-Market Data'!$B$8:$CW$8</definedName>
    <definedName name="UNITS_DRS_PPTs_VALUES_SUMMARY">'Pre-Market Data'!$B$15:$CW$15</definedName>
    <definedName name="UNITS_GAS_PPTs_VALUES_SUMMARY">'Pre-Market Data'!$B$12:$CW$12</definedName>
    <definedName name="UNITS_HDR_PPTs_VALUES_SUMMARY">'Pre-Market Data'!$B$13:$CW$13</definedName>
    <definedName name="UNITS_LIG_PPTs_VALUES_SUMMARY">'Pre-Market Data'!$B$11:$CW$11</definedName>
    <definedName name="UNITS_NAMES_PPTs_SUMMARY">'Pre-Market Data'!$A$11:$A$16</definedName>
    <definedName name="UNITS_RES_PPTs_VALUES_SUMMARY">'Pre-Market Data'!$B$14:$CW$14</definedName>
    <definedName name="UNITS_SRG_PPTs_VALUES_SUMMARY">'Pre-Market Data'!$B$16:$CW$16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37" i="4" l="1" a="1"/>
  <c r="CX37" i="4"/>
  <c r="CX38" i="4" a="1"/>
  <c r="CX38" i="4"/>
  <c r="CX39" i="4" a="1"/>
  <c r="CX40" i="4" a="1"/>
  <c r="CX41" i="4" a="1"/>
  <c r="CX39" i="4"/>
  <c r="CX40" i="4"/>
  <c r="CX41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CX30" i="4" a="1"/>
  <c r="CX30" i="4"/>
  <c r="CX31" i="4" a="1"/>
  <c r="CX31" i="4"/>
  <c r="CX32" i="4" a="1"/>
  <c r="CX33" i="4" a="1"/>
  <c r="CX34" i="4" a="1"/>
  <c r="CX32" i="4"/>
  <c r="CX33" i="4"/>
  <c r="CX34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CX20" i="4" a="1"/>
  <c r="CX20" i="4"/>
  <c r="CX21" i="4" a="1"/>
  <c r="CX21" i="4"/>
  <c r="CX22" i="4" a="1"/>
  <c r="CX23" i="4" a="1"/>
  <c r="CX24" i="4" a="1"/>
  <c r="CX25" i="4" a="1"/>
  <c r="CX26" i="4" a="1"/>
  <c r="CX22" i="4"/>
  <c r="CX23" i="4"/>
  <c r="CX24" i="4"/>
  <c r="CX25" i="4"/>
  <c r="CX26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CX11" i="4" a="1"/>
  <c r="CX11" i="4"/>
  <c r="CX12" i="4" a="1"/>
  <c r="CX12" i="4"/>
  <c r="CX13" i="4" a="1"/>
  <c r="CX14" i="4" a="1"/>
  <c r="CX15" i="4" a="1"/>
  <c r="CX16" i="4" a="1"/>
  <c r="CX13" i="4"/>
  <c r="CX14" i="4"/>
  <c r="CX15" i="4"/>
  <c r="CX16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X5" i="4" a="1"/>
  <c r="CX5" i="4"/>
  <c r="CX8" i="4" a="1"/>
  <c r="CX8" i="4"/>
</calcChain>
</file>

<file path=xl/sharedStrings.xml><?xml version="1.0" encoding="utf-8"?>
<sst xmlns="http://schemas.openxmlformats.org/spreadsheetml/2006/main" count="42" uniqueCount="35">
  <si>
    <t>Physical Delivery &amp; Off-take Nominations of Forward Positions in Day-Ahead Market</t>
  </si>
  <si>
    <t>Publication on: 22/04/2026 14:23:11</t>
  </si>
  <si>
    <t>TOTAL (MWh)</t>
  </si>
  <si>
    <t>Total BUY Nominations</t>
  </si>
  <si>
    <t>Greece Mainland</t>
  </si>
  <si>
    <t>Total SELL Nominations</t>
  </si>
  <si>
    <t>PRODUCTION TECHNOLOGY / MTU</t>
  </si>
  <si>
    <t>LIGNITE</t>
  </si>
  <si>
    <t>GAS</t>
  </si>
  <si>
    <t>HYDRO</t>
  </si>
  <si>
    <t>RENEWABLES</t>
  </si>
  <si>
    <t>D/R LOAD</t>
  </si>
  <si>
    <t>BESS</t>
  </si>
  <si>
    <t>PRODUCTION</t>
  </si>
  <si>
    <t>DEMAND / MTU</t>
  </si>
  <si>
    <t>HV LOAD</t>
  </si>
  <si>
    <t>LV LOAD</t>
  </si>
  <si>
    <t>MV LOAD</t>
  </si>
  <si>
    <t>PUMP</t>
  </si>
  <si>
    <t>SYSTEM LOSSES</t>
  </si>
  <si>
    <t>DEMAND</t>
  </si>
  <si>
    <t>BORDER IMPORTS</t>
  </si>
  <si>
    <t>AL-GR</t>
  </si>
  <si>
    <t>MK-GR</t>
  </si>
  <si>
    <t>BG-GR</t>
  </si>
  <si>
    <t>TR-GR</t>
  </si>
  <si>
    <t>IT-GR</t>
  </si>
  <si>
    <t>TOTAL IMPORTS</t>
  </si>
  <si>
    <t>BORDER EXPORTS</t>
  </si>
  <si>
    <t>GR-AL</t>
  </si>
  <si>
    <t>GR-MK</t>
  </si>
  <si>
    <t>GR-BG</t>
  </si>
  <si>
    <t>GR-TR</t>
  </si>
  <si>
    <t>GR-IT</t>
  </si>
  <si>
    <t>TOTAL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</si>
</sst>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H\o\u\r\-00"/>
    <numFmt numFmtId="165" formatCode="[$-409]dddd\,\ dd\ mmmm\,\ yyyy"/>
    <numFmt numFmtId="166" formatCode="00"/>
    <numFmt numFmtId="167" formatCode="#,##0.000"/>
    <numFmt numFmtId="168" formatCode="0.00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6"/>
      <name val="Arial"/>
      <family val="2"/>
      <charset val="161"/>
    </font>
    <font>
      <b/>
      <sz val="14"/>
      <name val="Arial"/>
      <family val="2"/>
      <charset val="161"/>
    </font>
    <font>
      <sz val="12"/>
      <name val="Arial"/>
      <family val="2"/>
      <charset val="161"/>
    </font>
    <font>
      <sz val="11"/>
      <color theme="1"/>
      <name val="Arial"/>
      <family val="2"/>
      <charset val="161"/>
    </font>
    <font>
      <sz val="14"/>
      <color theme="1"/>
      <name val="Arial"/>
      <family val="2"/>
      <charset val="161"/>
    </font>
    <font>
      <b/>
      <sz val="14"/>
      <color theme="0"/>
      <name val="Arial"/>
      <family val="2"/>
      <charset val="161"/>
    </font>
    <font>
      <b/>
      <sz val="12"/>
      <color theme="0"/>
      <name val="Arial"/>
      <family val="2"/>
      <charset val="161"/>
    </font>
    <font>
      <b/>
      <sz val="11"/>
      <color theme="0"/>
      <name val="Arial"/>
      <family val="2"/>
      <charset val="161"/>
    </font>
    <font>
      <b/>
      <sz val="11"/>
      <name val="Arial"/>
      <family val="2"/>
      <charset val="161"/>
    </font>
    <font>
      <b/>
      <sz val="12"/>
      <name val="Arial"/>
      <family val="2"/>
      <charset val="16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left" vertical="center" indent="1"/>
    </xf>
    <xf numFmtId="164" fontId="3" fillId="2" borderId="2" xfId="1" applyNumberFormat="1" applyFont="1" applyFill="1" applyBorder="1" applyAlignment="1">
      <alignment horizontal="center" vertical="center"/>
    </xf>
    <xf numFmtId="0" fontId="6" fillId="0" borderId="0" xfId="1" applyFont="1"/>
    <xf numFmtId="165" fontId="7" fillId="3" borderId="2" xfId="1" applyNumberFormat="1" applyFont="1" applyFill="1" applyBorder="1" applyAlignment="1" applyProtection="1">
      <alignment horizontal="left" vertical="center" indent="1" shrinkToFit="1"/>
      <protection locked="0"/>
    </xf>
    <xf numFmtId="166" fontId="8" fillId="3" borderId="3" xfId="1" applyNumberFormat="1" applyFont="1" applyFill="1" applyBorder="1" applyAlignment="1" applyProtection="1">
      <alignment horizontal="center" vertical="center"/>
      <protection hidden="1"/>
    </xf>
    <xf numFmtId="166" fontId="8" fillId="3" borderId="4" xfId="1" applyNumberFormat="1" applyFont="1" applyFill="1" applyBorder="1" applyAlignment="1" applyProtection="1">
      <alignment horizontal="center" vertical="center"/>
      <protection hidden="1"/>
    </xf>
    <xf numFmtId="166" fontId="8" fillId="3" borderId="5" xfId="1" applyNumberFormat="1" applyFont="1" applyFill="1" applyBorder="1" applyAlignment="1" applyProtection="1">
      <alignment horizontal="center" vertical="center"/>
      <protection hidden="1"/>
    </xf>
    <xf numFmtId="166" fontId="8" fillId="3" borderId="6" xfId="1" applyNumberFormat="1" applyFont="1" applyFill="1" applyBorder="1" applyAlignment="1" applyProtection="1">
      <alignment horizontal="center" vertical="center"/>
      <protection hidden="1"/>
    </xf>
    <xf numFmtId="166" fontId="8" fillId="3" borderId="7" xfId="1" applyNumberFormat="1" applyFont="1" applyFill="1" applyBorder="1" applyAlignment="1" applyProtection="1">
      <alignment horizontal="center" vertical="center"/>
      <protection hidden="1"/>
    </xf>
    <xf numFmtId="166" fontId="8" fillId="3" borderId="8" xfId="1" applyNumberFormat="1" applyFont="1" applyFill="1" applyBorder="1" applyAlignment="1" applyProtection="1">
      <alignment horizontal="center" vertical="center"/>
      <protection hidden="1"/>
    </xf>
    <xf numFmtId="166" fontId="8" fillId="3" borderId="9" xfId="1" applyNumberFormat="1" applyFont="1" applyFill="1" applyBorder="1" applyAlignment="1" applyProtection="1">
      <alignment horizontal="center" vertical="center"/>
      <protection hidden="1"/>
    </xf>
    <xf numFmtId="0" fontId="8" fillId="4" borderId="2" xfId="1" applyFont="1" applyFill="1" applyBorder="1" applyAlignment="1" applyProtection="1">
      <alignment horizontal="center" vertical="center"/>
      <protection hidden="1"/>
    </xf>
    <xf numFmtId="0" fontId="8" fillId="5" borderId="2" xfId="1" applyFont="1" applyFill="1" applyBorder="1" applyAlignment="1" applyProtection="1">
      <alignment horizontal="left" vertical="center" indent="1"/>
      <protection hidden="1"/>
    </xf>
    <xf numFmtId="167" fontId="9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9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9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10" fillId="0" borderId="12" xfId="1" applyFont="1" applyBorder="1" applyAlignment="1" applyProtection="1">
      <alignment horizontal="left" vertical="center" indent="1"/>
      <protection hidden="1"/>
    </xf>
    <xf numFmtId="168" fontId="10" fillId="0" borderId="13" xfId="1" applyNumberFormat="1" applyFont="1" applyBorder="1" applyAlignment="1" applyProtection="1">
      <alignment horizontal="right" vertical="center" shrinkToFit="1"/>
      <protection hidden="1"/>
    </xf>
    <xf numFmtId="168" fontId="10" fillId="0" borderId="14" xfId="1" applyNumberFormat="1" applyFont="1" applyBorder="1" applyAlignment="1" applyProtection="1">
      <alignment horizontal="right" vertical="center" shrinkToFit="1"/>
      <protection hidden="1"/>
    </xf>
    <xf numFmtId="168" fontId="10" fillId="0" borderId="15" xfId="1" applyNumberFormat="1" applyFont="1" applyBorder="1" applyAlignment="1" applyProtection="1">
      <alignment horizontal="right" vertical="center" shrinkToFit="1"/>
      <protection hidden="1"/>
    </xf>
    <xf numFmtId="168" fontId="10" fillId="0" borderId="16" xfId="1" applyNumberFormat="1" applyFont="1" applyBorder="1" applyAlignment="1" applyProtection="1">
      <alignment horizontal="right" vertical="center" shrinkToFit="1"/>
      <protection hidden="1"/>
    </xf>
    <xf numFmtId="167" fontId="9" fillId="5" borderId="12" xfId="1" applyNumberFormat="1" applyFont="1" applyFill="1" applyBorder="1" applyAlignment="1" applyProtection="1">
      <alignment horizontal="right" vertical="center" shrinkToFit="1"/>
      <protection hidden="1"/>
    </xf>
    <xf numFmtId="0" fontId="10" fillId="0" borderId="17" xfId="1" applyFont="1" applyBorder="1" applyAlignment="1" applyProtection="1">
      <alignment horizontal="left" vertical="center" indent="1"/>
      <protection hidden="1"/>
    </xf>
    <xf numFmtId="0" fontId="10" fillId="0" borderId="18" xfId="1" applyFont="1" applyBorder="1" applyAlignment="1" applyProtection="1">
      <alignment horizontal="right" vertical="center" shrinkToFit="1"/>
      <protection locked="0" hidden="1"/>
    </xf>
    <xf numFmtId="0" fontId="10" fillId="0" borderId="19" xfId="1" applyFont="1" applyBorder="1" applyAlignment="1" applyProtection="1">
      <alignment horizontal="right" vertical="center" shrinkToFit="1"/>
      <protection locked="0" hidden="1"/>
    </xf>
    <xf numFmtId="0" fontId="10" fillId="0" borderId="20" xfId="1" applyFont="1" applyBorder="1" applyAlignment="1" applyProtection="1">
      <alignment horizontal="right" vertical="center" shrinkToFit="1"/>
      <protection locked="0" hidden="1"/>
    </xf>
    <xf numFmtId="0" fontId="10" fillId="0" borderId="21" xfId="1" applyFont="1" applyBorder="1" applyAlignment="1" applyProtection="1">
      <alignment horizontal="right" vertical="center" shrinkToFit="1"/>
      <protection locked="0" hidden="1"/>
    </xf>
    <xf numFmtId="0" fontId="10" fillId="0" borderId="17" xfId="1" applyFont="1" applyBorder="1" applyAlignment="1" applyProtection="1">
      <alignment horizontal="right" vertical="center" shrinkToFit="1"/>
      <protection hidden="1"/>
    </xf>
    <xf numFmtId="167" fontId="5" fillId="0" borderId="0" xfId="1" applyNumberFormat="1" applyFont="1"/>
    <xf numFmtId="0" fontId="10" fillId="0" borderId="22" xfId="1" applyFont="1" applyBorder="1" applyAlignment="1" applyProtection="1">
      <alignment horizontal="left" vertical="center" indent="1"/>
      <protection hidden="1"/>
    </xf>
    <xf numFmtId="0" fontId="8" fillId="3" borderId="2" xfId="1" applyFont="1" applyFill="1" applyBorder="1" applyAlignment="1" applyProtection="1">
      <alignment horizontal="left" vertical="center"/>
      <protection hidden="1"/>
    </xf>
    <xf numFmtId="166" fontId="8" fillId="0" borderId="10" xfId="1" applyNumberFormat="1" applyFont="1" applyBorder="1" applyAlignment="1" applyProtection="1">
      <alignment horizontal="center" vertical="center"/>
      <protection hidden="1"/>
    </xf>
    <xf numFmtId="166" fontId="8" fillId="0" borderId="8" xfId="1" applyNumberFormat="1" applyFont="1" applyBorder="1" applyAlignment="1" applyProtection="1">
      <alignment horizontal="center" vertical="center"/>
      <protection hidden="1"/>
    </xf>
    <xf numFmtId="166" fontId="8" fillId="0" borderId="11" xfId="1" applyNumberFormat="1" applyFont="1" applyBorder="1" applyAlignment="1" applyProtection="1">
      <alignment horizontal="center" vertical="center"/>
      <protection hidden="1"/>
    </xf>
    <xf numFmtId="0" fontId="11" fillId="0" borderId="12" xfId="1" applyFont="1" applyBorder="1" applyAlignment="1" applyProtection="1">
      <alignment horizontal="left" vertical="center" indent="1" shrinkToFit="1"/>
      <protection hidden="1"/>
    </xf>
    <xf numFmtId="0" fontId="10" fillId="0" borderId="13" xfId="1" applyFont="1" applyBorder="1" applyAlignment="1" applyProtection="1">
      <alignment horizontal="right" vertical="center" shrinkToFit="1"/>
      <protection hidden="1"/>
    </xf>
    <xf numFmtId="0" fontId="10" fillId="0" borderId="14" xfId="1" applyFont="1" applyBorder="1" applyAlignment="1" applyProtection="1">
      <alignment horizontal="right" vertical="center" shrinkToFit="1"/>
      <protection hidden="1"/>
    </xf>
    <xf numFmtId="0" fontId="10" fillId="0" borderId="15" xfId="1" applyFont="1" applyBorder="1" applyAlignment="1" applyProtection="1">
      <alignment horizontal="right" vertical="center" shrinkToFit="1"/>
      <protection hidden="1"/>
    </xf>
    <xf numFmtId="0" fontId="10" fillId="0" borderId="16" xfId="1" applyFont="1" applyBorder="1" applyAlignment="1" applyProtection="1">
      <alignment horizontal="right" vertical="center" shrinkToFit="1"/>
      <protection hidden="1"/>
    </xf>
    <xf numFmtId="167" fontId="10" fillId="0" borderId="12" xfId="1" applyNumberFormat="1" applyFont="1" applyBorder="1" applyAlignment="1" applyProtection="1">
      <alignment horizontal="right" vertical="center" shrinkToFit="1"/>
      <protection hidden="1"/>
    </xf>
    <xf numFmtId="0" fontId="11" fillId="0" borderId="23" xfId="1" applyFont="1" applyBorder="1" applyAlignment="1" applyProtection="1">
      <alignment horizontal="left" vertical="center" indent="1" shrinkToFit="1"/>
      <protection hidden="1"/>
    </xf>
    <xf numFmtId="0" fontId="10" fillId="0" borderId="24" xfId="1" applyFont="1" applyBorder="1" applyAlignment="1" applyProtection="1">
      <alignment horizontal="right" vertical="center" shrinkToFit="1"/>
      <protection hidden="1"/>
    </xf>
    <xf numFmtId="0" fontId="10" fillId="0" borderId="25" xfId="1" applyFont="1" applyBorder="1" applyAlignment="1" applyProtection="1">
      <alignment horizontal="right" vertical="center" shrinkToFit="1"/>
      <protection hidden="1"/>
    </xf>
    <xf numFmtId="0" fontId="10" fillId="0" borderId="26" xfId="1" applyFont="1" applyBorder="1" applyAlignment="1" applyProtection="1">
      <alignment horizontal="right" vertical="center" shrinkToFit="1"/>
      <protection hidden="1"/>
    </xf>
    <xf numFmtId="0" fontId="10" fillId="0" borderId="27" xfId="1" applyFont="1" applyBorder="1" applyAlignment="1" applyProtection="1">
      <alignment horizontal="right" vertical="center" shrinkToFit="1"/>
      <protection hidden="1"/>
    </xf>
    <xf numFmtId="167" fontId="10" fillId="0" borderId="23" xfId="1" applyNumberFormat="1" applyFont="1" applyBorder="1" applyAlignment="1" applyProtection="1">
      <alignment horizontal="right" vertical="center" shrinkToFit="1"/>
      <protection hidden="1"/>
    </xf>
    <xf numFmtId="167" fontId="10" fillId="0" borderId="28" xfId="1" applyNumberFormat="1" applyFont="1" applyBorder="1" applyAlignment="1" applyProtection="1">
      <alignment horizontal="right" vertical="center" shrinkToFit="1"/>
      <protection hidden="1"/>
    </xf>
    <xf numFmtId="0" fontId="11" fillId="0" borderId="28" xfId="1" applyFont="1" applyBorder="1" applyAlignment="1" applyProtection="1">
      <alignment horizontal="left" vertical="center" indent="1" shrinkToFit="1"/>
      <protection hidden="1"/>
    </xf>
    <xf numFmtId="0" fontId="10" fillId="0" borderId="29" xfId="1" applyFont="1" applyBorder="1" applyAlignment="1" applyProtection="1">
      <alignment horizontal="right" vertical="center" shrinkToFit="1"/>
      <protection hidden="1"/>
    </xf>
    <xf numFmtId="0" fontId="10" fillId="0" borderId="30" xfId="1" applyFont="1" applyBorder="1" applyAlignment="1" applyProtection="1">
      <alignment horizontal="right" vertical="center" shrinkToFit="1"/>
      <protection hidden="1"/>
    </xf>
    <xf numFmtId="0" fontId="10" fillId="0" borderId="31" xfId="1" applyFont="1" applyBorder="1" applyAlignment="1" applyProtection="1">
      <alignment horizontal="right" vertical="center" shrinkToFit="1"/>
      <protection hidden="1"/>
    </xf>
    <xf numFmtId="0" fontId="10" fillId="0" borderId="32" xfId="1" applyFont="1" applyBorder="1" applyAlignment="1" applyProtection="1">
      <alignment horizontal="right" vertical="center" shrinkToFit="1"/>
      <protection hidden="1"/>
    </xf>
    <xf numFmtId="0" fontId="11" fillId="0" borderId="33" xfId="1" applyFont="1" applyBorder="1" applyAlignment="1" applyProtection="1">
      <alignment horizontal="left" vertical="center" indent="1" shrinkToFit="1"/>
      <protection hidden="1"/>
    </xf>
    <xf numFmtId="0" fontId="10" fillId="0" borderId="18" xfId="1" applyFont="1" applyBorder="1" applyAlignment="1" applyProtection="1">
      <alignment horizontal="right" vertical="center" shrinkToFit="1"/>
      <protection hidden="1"/>
    </xf>
    <xf numFmtId="0" fontId="10" fillId="0" borderId="19" xfId="1" applyFont="1" applyBorder="1" applyAlignment="1" applyProtection="1">
      <alignment horizontal="right" vertical="center" shrinkToFit="1"/>
      <protection hidden="1"/>
    </xf>
    <xf numFmtId="0" fontId="10" fillId="0" borderId="20" xfId="1" applyFont="1" applyBorder="1" applyAlignment="1" applyProtection="1">
      <alignment horizontal="right" vertical="center" shrinkToFit="1"/>
      <protection hidden="1"/>
    </xf>
    <xf numFmtId="0" fontId="10" fillId="0" borderId="21" xfId="1" applyFont="1" applyBorder="1" applyAlignment="1" applyProtection="1">
      <alignment horizontal="right" vertical="center" shrinkToFit="1"/>
      <protection hidden="1"/>
    </xf>
    <xf numFmtId="167" fontId="10" fillId="0" borderId="33" xfId="1" applyNumberFormat="1" applyFont="1" applyBorder="1" applyAlignment="1" applyProtection="1">
      <alignment horizontal="right" vertical="center" shrinkToFit="1"/>
      <protection hidden="1"/>
    </xf>
    <xf numFmtId="0" fontId="8" fillId="5" borderId="17" xfId="1" applyFont="1" applyFill="1" applyBorder="1" applyAlignment="1" applyProtection="1">
      <alignment horizontal="left" vertical="center" indent="1" shrinkToFit="1"/>
      <protection hidden="1"/>
    </xf>
    <xf numFmtId="168" fontId="9" fillId="5" borderId="34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5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6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7" xfId="1" applyNumberFormat="1" applyFont="1" applyFill="1" applyBorder="1" applyAlignment="1" applyProtection="1">
      <alignment horizontal="right" vertical="center" shrinkToFit="1"/>
      <protection hidden="1"/>
    </xf>
    <xf numFmtId="167" fontId="9" fillId="5" borderId="17" xfId="1" applyNumberFormat="1" applyFont="1" applyFill="1" applyBorder="1" applyAlignment="1" applyProtection="1">
      <alignment horizontal="right" vertical="center" shrinkToFit="1"/>
      <protection hidden="1"/>
    </xf>
    <xf numFmtId="0" fontId="12" fillId="0" borderId="38" xfId="1" applyFont="1" applyBorder="1" applyAlignment="1" applyProtection="1">
      <alignment horizontal="left" vertical="center" indent="1" shrinkToFit="1"/>
      <protection hidden="1"/>
    </xf>
    <xf numFmtId="167" fontId="13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10" fillId="6" borderId="12" xfId="1" applyFont="1" applyFill="1" applyBorder="1" applyAlignment="1" applyProtection="1">
      <alignment horizontal="left" vertical="center" indent="1"/>
      <protection hidden="1"/>
    </xf>
    <xf numFmtId="0" fontId="10" fillId="0" borderId="13" xfId="1" applyFont="1" applyBorder="1" applyAlignment="1">
      <alignment horizontal="right" vertical="center"/>
    </xf>
    <xf numFmtId="0" fontId="10" fillId="0" borderId="14" xfId="1" applyFont="1" applyBorder="1" applyAlignment="1">
      <alignment horizontal="right" vertical="center"/>
    </xf>
    <xf numFmtId="0" fontId="10" fillId="0" borderId="15" xfId="1" applyFont="1" applyBorder="1" applyAlignment="1">
      <alignment horizontal="right" vertical="center"/>
    </xf>
    <xf numFmtId="0" fontId="10" fillId="0" borderId="16" xfId="1" applyFont="1" applyBorder="1" applyAlignment="1">
      <alignment horizontal="right" vertical="center"/>
    </xf>
    <xf numFmtId="167" fontId="10" fillId="6" borderId="12" xfId="1" applyNumberFormat="1" applyFont="1" applyFill="1" applyBorder="1" applyAlignment="1">
      <alignment horizontal="right" vertical="center"/>
    </xf>
    <xf numFmtId="0" fontId="10" fillId="7" borderId="23" xfId="1" applyFont="1" applyFill="1" applyBorder="1" applyAlignment="1" applyProtection="1">
      <alignment horizontal="left" vertical="center" indent="1"/>
      <protection hidden="1"/>
    </xf>
    <xf numFmtId="0" fontId="10" fillId="0" borderId="24" xfId="1" applyFont="1" applyBorder="1" applyAlignment="1">
      <alignment horizontal="right" vertical="center"/>
    </xf>
    <xf numFmtId="0" fontId="10" fillId="0" borderId="25" xfId="1" applyFont="1" applyBorder="1" applyAlignment="1">
      <alignment horizontal="right" vertical="center"/>
    </xf>
    <xf numFmtId="0" fontId="10" fillId="0" borderId="26" xfId="1" applyFont="1" applyBorder="1" applyAlignment="1">
      <alignment horizontal="right" vertical="center"/>
    </xf>
    <xf numFmtId="0" fontId="10" fillId="0" borderId="27" xfId="1" applyFont="1" applyBorder="1" applyAlignment="1">
      <alignment horizontal="right" vertical="center"/>
    </xf>
    <xf numFmtId="167" fontId="10" fillId="6" borderId="23" xfId="1" applyNumberFormat="1" applyFont="1" applyFill="1" applyBorder="1" applyAlignment="1">
      <alignment horizontal="right" vertical="center"/>
    </xf>
    <xf numFmtId="0" fontId="10" fillId="7" borderId="28" xfId="1" applyFont="1" applyFill="1" applyBorder="1" applyAlignment="1" applyProtection="1">
      <alignment horizontal="left" vertical="center" indent="1"/>
      <protection hidden="1"/>
    </xf>
    <xf numFmtId="0" fontId="10" fillId="0" borderId="29" xfId="1" applyFont="1" applyBorder="1" applyAlignment="1">
      <alignment horizontal="right" vertical="center"/>
    </xf>
    <xf numFmtId="0" fontId="10" fillId="0" borderId="30" xfId="1" applyFont="1" applyBorder="1" applyAlignment="1">
      <alignment horizontal="right" vertical="center"/>
    </xf>
    <xf numFmtId="0" fontId="10" fillId="0" borderId="31" xfId="1" applyFont="1" applyBorder="1" applyAlignment="1">
      <alignment horizontal="right" vertical="center"/>
    </xf>
    <xf numFmtId="0" fontId="10" fillId="0" borderId="32" xfId="1" applyFont="1" applyBorder="1" applyAlignment="1">
      <alignment horizontal="right" vertical="center"/>
    </xf>
    <xf numFmtId="167" fontId="10" fillId="6" borderId="28" xfId="1" applyNumberFormat="1" applyFont="1" applyFill="1" applyBorder="1" applyAlignment="1">
      <alignment horizontal="right" vertical="center"/>
    </xf>
    <xf numFmtId="0" fontId="10" fillId="7" borderId="33" xfId="1" applyFont="1" applyFill="1" applyBorder="1" applyAlignment="1" applyProtection="1">
      <alignment horizontal="left" vertical="center" indent="1"/>
      <protection hidden="1"/>
    </xf>
    <xf numFmtId="0" fontId="10" fillId="0" borderId="18" xfId="1" applyFont="1" applyBorder="1" applyAlignment="1">
      <alignment horizontal="right" vertical="center"/>
    </xf>
    <xf numFmtId="0" fontId="10" fillId="0" borderId="19" xfId="1" applyFont="1" applyBorder="1" applyAlignment="1">
      <alignment horizontal="right" vertical="center"/>
    </xf>
    <xf numFmtId="0" fontId="10" fillId="0" borderId="20" xfId="1" applyFont="1" applyBorder="1" applyAlignment="1">
      <alignment horizontal="right" vertical="center"/>
    </xf>
    <xf numFmtId="0" fontId="10" fillId="0" borderId="21" xfId="1" applyFont="1" applyBorder="1" applyAlignment="1">
      <alignment horizontal="right" vertical="center"/>
    </xf>
    <xf numFmtId="167" fontId="10" fillId="6" borderId="33" xfId="1" applyNumberFormat="1" applyFont="1" applyFill="1" applyBorder="1" applyAlignment="1">
      <alignment horizontal="right" vertical="center"/>
    </xf>
    <xf numFmtId="0" fontId="10" fillId="6" borderId="13" xfId="1" applyFont="1" applyFill="1" applyBorder="1" applyAlignment="1">
      <alignment horizontal="right" vertical="center"/>
    </xf>
    <xf numFmtId="0" fontId="10" fillId="6" borderId="14" xfId="1" applyFont="1" applyFill="1" applyBorder="1" applyAlignment="1">
      <alignment horizontal="right" vertical="center"/>
    </xf>
    <xf numFmtId="0" fontId="10" fillId="6" borderId="15" xfId="1" applyFont="1" applyFill="1" applyBorder="1" applyAlignment="1">
      <alignment horizontal="right" vertical="center"/>
    </xf>
    <xf numFmtId="0" fontId="10" fillId="6" borderId="16" xfId="1" applyFont="1" applyFill="1" applyBorder="1" applyAlignment="1">
      <alignment horizontal="right" vertical="center"/>
    </xf>
    <xf numFmtId="0" fontId="10" fillId="6" borderId="23" xfId="1" applyFont="1" applyFill="1" applyBorder="1" applyAlignment="1" applyProtection="1">
      <alignment horizontal="left" vertical="center" indent="1"/>
      <protection hidden="1"/>
    </xf>
    <xf numFmtId="0" fontId="10" fillId="6" borderId="24" xfId="1" applyFont="1" applyFill="1" applyBorder="1" applyAlignment="1">
      <alignment horizontal="right" vertical="center"/>
    </xf>
    <xf numFmtId="0" fontId="10" fillId="6" borderId="25" xfId="1" applyFont="1" applyFill="1" applyBorder="1" applyAlignment="1">
      <alignment horizontal="right" vertical="center"/>
    </xf>
    <xf numFmtId="0" fontId="10" fillId="6" borderId="26" xfId="1" applyFont="1" applyFill="1" applyBorder="1" applyAlignment="1">
      <alignment horizontal="right" vertical="center"/>
    </xf>
    <xf numFmtId="0" fontId="10" fillId="6" borderId="27" xfId="1" applyFont="1" applyFill="1" applyBorder="1" applyAlignment="1">
      <alignment horizontal="right" vertical="center"/>
    </xf>
    <xf numFmtId="0" fontId="10" fillId="6" borderId="33" xfId="1" applyFont="1" applyFill="1" applyBorder="1" applyAlignment="1" applyProtection="1">
      <alignment horizontal="left" vertical="center" indent="1"/>
      <protection hidden="1"/>
    </xf>
    <xf numFmtId="0" fontId="10" fillId="6" borderId="18" xfId="1" applyFont="1" applyFill="1" applyBorder="1" applyAlignment="1">
      <alignment horizontal="right" vertical="center"/>
    </xf>
    <xf numFmtId="0" fontId="10" fillId="6" borderId="19" xfId="1" applyFont="1" applyFill="1" applyBorder="1" applyAlignment="1">
      <alignment horizontal="right" vertical="center"/>
    </xf>
    <xf numFmtId="0" fontId="10" fillId="6" borderId="20" xfId="1" applyFont="1" applyFill="1" applyBorder="1" applyAlignment="1">
      <alignment horizontal="right" vertical="center"/>
    </xf>
    <xf numFmtId="0" fontId="10" fillId="6" borderId="21" xfId="1" applyFont="1" applyFill="1" applyBorder="1" applyAlignment="1">
      <alignment horizontal="right" vertical="center"/>
    </xf>
    <xf numFmtId="0" fontId="10" fillId="6" borderId="39" xfId="1" applyFont="1" applyFill="1" applyBorder="1" applyAlignment="1">
      <alignment horizontal="right" vertical="center"/>
    </xf>
    <xf numFmtId="0" fontId="10" fillId="6" borderId="40" xfId="1" applyFont="1" applyFill="1" applyBorder="1" applyAlignment="1">
      <alignment horizontal="right" vertical="center"/>
    </xf>
  </cellXfs>
  <cellStyles count="2">
    <cellStyle name="Normal" xfId="0" builtinId="0"/>
    <cellStyle name="Normal 1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A43"/>
  <sheetViews>
    <sheetView showGridLines="0" tabSelected="1" zoomScale="70" zoomScaleNormal="70" workbookViewId="0">
      <pane xSplit="1" ySplit="3" topLeftCell="BL13" activePane="bottomRight" state="frozen"/>
      <selection pane="topRight" activeCell="B1" sqref="B1"/>
      <selection pane="bottomLeft" activeCell="A5" sqref="A5"/>
      <selection pane="bottomRight" activeCell="CX42" activeCellId="1" sqref="CX35 CX42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04" width="9.140625" style="5"/>
    <col min="105" max="105" width="10.42578125" style="5" bestFit="1" customWidth="1"/>
    <col min="106" max="16384" width="9.140625" style="5"/>
  </cols>
  <sheetData>
    <row r="1" spans="1:105" ht="39.950000000000003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5" s="9" customFormat="1" ht="25.15" customHeight="1" thickBot="1" x14ac:dyDescent="0.3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2"/>
    </row>
    <row r="3" spans="1:105" ht="30" customHeight="1" thickBot="1" x14ac:dyDescent="0.25">
      <c r="A3" s="10">
        <v>46135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2</v>
      </c>
    </row>
    <row r="4" spans="1:105" ht="24.95" customHeight="1" thickBot="1" x14ac:dyDescent="0.25">
      <c r="A4" s="19" t="s">
        <v>3</v>
      </c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5" ht="20.100000000000001" customHeight="1" x14ac:dyDescent="0.2">
      <c r="A5" s="23" t="s">
        <v>4</v>
      </c>
      <c r="B5" s="24">
        <f>B27+B42</f>
        <v>107</v>
      </c>
      <c r="C5" s="25">
        <f t="shared" ref="C5:BN5" si="0">C27+C42</f>
        <v>107</v>
      </c>
      <c r="D5" s="25">
        <f t="shared" si="0"/>
        <v>107</v>
      </c>
      <c r="E5" s="25">
        <f t="shared" si="0"/>
        <v>107</v>
      </c>
      <c r="F5" s="25">
        <f t="shared" si="0"/>
        <v>107</v>
      </c>
      <c r="G5" s="25">
        <f t="shared" si="0"/>
        <v>107</v>
      </c>
      <c r="H5" s="25">
        <f t="shared" si="0"/>
        <v>107</v>
      </c>
      <c r="I5" s="25">
        <f t="shared" si="0"/>
        <v>107</v>
      </c>
      <c r="J5" s="25">
        <f t="shared" si="0"/>
        <v>107</v>
      </c>
      <c r="K5" s="25">
        <f t="shared" si="0"/>
        <v>107</v>
      </c>
      <c r="L5" s="25">
        <f t="shared" si="0"/>
        <v>107</v>
      </c>
      <c r="M5" s="25">
        <f t="shared" si="0"/>
        <v>107</v>
      </c>
      <c r="N5" s="25">
        <f t="shared" si="0"/>
        <v>107</v>
      </c>
      <c r="O5" s="25">
        <f t="shared" si="0"/>
        <v>107</v>
      </c>
      <c r="P5" s="25">
        <f t="shared" si="0"/>
        <v>107</v>
      </c>
      <c r="Q5" s="25">
        <f t="shared" si="0"/>
        <v>107</v>
      </c>
      <c r="R5" s="25">
        <f t="shared" si="0"/>
        <v>107</v>
      </c>
      <c r="S5" s="25">
        <f t="shared" si="0"/>
        <v>107</v>
      </c>
      <c r="T5" s="25">
        <f t="shared" si="0"/>
        <v>107</v>
      </c>
      <c r="U5" s="25">
        <f t="shared" si="0"/>
        <v>107</v>
      </c>
      <c r="V5" s="25">
        <f t="shared" si="0"/>
        <v>107</v>
      </c>
      <c r="W5" s="25">
        <f t="shared" si="0"/>
        <v>107</v>
      </c>
      <c r="X5" s="25">
        <f t="shared" si="0"/>
        <v>107</v>
      </c>
      <c r="Y5" s="25">
        <f t="shared" si="0"/>
        <v>107</v>
      </c>
      <c r="Z5" s="25">
        <f t="shared" si="0"/>
        <v>107</v>
      </c>
      <c r="AA5" s="25">
        <f t="shared" si="0"/>
        <v>107</v>
      </c>
      <c r="AB5" s="25">
        <f t="shared" si="0"/>
        <v>107</v>
      </c>
      <c r="AC5" s="25">
        <f t="shared" si="0"/>
        <v>107</v>
      </c>
      <c r="AD5" s="25">
        <f t="shared" si="0"/>
        <v>110</v>
      </c>
      <c r="AE5" s="25">
        <f t="shared" si="0"/>
        <v>110</v>
      </c>
      <c r="AF5" s="25">
        <f t="shared" si="0"/>
        <v>110</v>
      </c>
      <c r="AG5" s="25">
        <f t="shared" si="0"/>
        <v>110</v>
      </c>
      <c r="AH5" s="25">
        <f t="shared" si="0"/>
        <v>122</v>
      </c>
      <c r="AI5" s="25">
        <f t="shared" si="0"/>
        <v>122</v>
      </c>
      <c r="AJ5" s="25">
        <f t="shared" si="0"/>
        <v>122</v>
      </c>
      <c r="AK5" s="25">
        <f t="shared" si="0"/>
        <v>122</v>
      </c>
      <c r="AL5" s="25">
        <f t="shared" si="0"/>
        <v>152</v>
      </c>
      <c r="AM5" s="25">
        <f t="shared" si="0"/>
        <v>152</v>
      </c>
      <c r="AN5" s="25">
        <f t="shared" si="0"/>
        <v>152</v>
      </c>
      <c r="AO5" s="25">
        <f t="shared" si="0"/>
        <v>152</v>
      </c>
      <c r="AP5" s="25">
        <f t="shared" si="0"/>
        <v>152</v>
      </c>
      <c r="AQ5" s="25">
        <f t="shared" si="0"/>
        <v>152</v>
      </c>
      <c r="AR5" s="25">
        <f t="shared" si="0"/>
        <v>152</v>
      </c>
      <c r="AS5" s="25">
        <f t="shared" si="0"/>
        <v>152</v>
      </c>
      <c r="AT5" s="25">
        <f t="shared" si="0"/>
        <v>152</v>
      </c>
      <c r="AU5" s="25">
        <f t="shared" si="0"/>
        <v>152</v>
      </c>
      <c r="AV5" s="25">
        <f t="shared" si="0"/>
        <v>152</v>
      </c>
      <c r="AW5" s="25">
        <f t="shared" si="0"/>
        <v>152</v>
      </c>
      <c r="AX5" s="25">
        <f t="shared" si="0"/>
        <v>152</v>
      </c>
      <c r="AY5" s="25">
        <f t="shared" si="0"/>
        <v>152</v>
      </c>
      <c r="AZ5" s="25">
        <f t="shared" si="0"/>
        <v>152</v>
      </c>
      <c r="BA5" s="25">
        <f t="shared" si="0"/>
        <v>152</v>
      </c>
      <c r="BB5" s="25">
        <f t="shared" si="0"/>
        <v>147</v>
      </c>
      <c r="BC5" s="25">
        <f t="shared" si="0"/>
        <v>147</v>
      </c>
      <c r="BD5" s="25">
        <f t="shared" si="0"/>
        <v>147</v>
      </c>
      <c r="BE5" s="25">
        <f t="shared" si="0"/>
        <v>147</v>
      </c>
      <c r="BF5" s="25">
        <f t="shared" si="0"/>
        <v>147</v>
      </c>
      <c r="BG5" s="25">
        <f t="shared" si="0"/>
        <v>147</v>
      </c>
      <c r="BH5" s="25">
        <f t="shared" si="0"/>
        <v>147</v>
      </c>
      <c r="BI5" s="25">
        <f t="shared" si="0"/>
        <v>147</v>
      </c>
      <c r="BJ5" s="25">
        <f t="shared" si="0"/>
        <v>124</v>
      </c>
      <c r="BK5" s="25">
        <f t="shared" si="0"/>
        <v>124</v>
      </c>
      <c r="BL5" s="25">
        <f t="shared" si="0"/>
        <v>124</v>
      </c>
      <c r="BM5" s="25">
        <f t="shared" si="0"/>
        <v>124</v>
      </c>
      <c r="BN5" s="25">
        <f t="shared" si="0"/>
        <v>119</v>
      </c>
      <c r="BO5" s="25">
        <f t="shared" ref="BO5:CW5" si="1">BO27+BO42</f>
        <v>119</v>
      </c>
      <c r="BP5" s="25">
        <f t="shared" si="1"/>
        <v>119</v>
      </c>
      <c r="BQ5" s="25">
        <f t="shared" si="1"/>
        <v>119</v>
      </c>
      <c r="BR5" s="25">
        <f t="shared" si="1"/>
        <v>107</v>
      </c>
      <c r="BS5" s="25">
        <f t="shared" si="1"/>
        <v>107</v>
      </c>
      <c r="BT5" s="25">
        <f t="shared" si="1"/>
        <v>107</v>
      </c>
      <c r="BU5" s="25">
        <f t="shared" si="1"/>
        <v>107</v>
      </c>
      <c r="BV5" s="25">
        <f t="shared" si="1"/>
        <v>107</v>
      </c>
      <c r="BW5" s="25">
        <f t="shared" si="1"/>
        <v>107</v>
      </c>
      <c r="BX5" s="25">
        <f t="shared" si="1"/>
        <v>107</v>
      </c>
      <c r="BY5" s="25">
        <f t="shared" si="1"/>
        <v>107</v>
      </c>
      <c r="BZ5" s="25">
        <f t="shared" si="1"/>
        <v>107</v>
      </c>
      <c r="CA5" s="25">
        <f t="shared" si="1"/>
        <v>107</v>
      </c>
      <c r="CB5" s="25">
        <f t="shared" si="1"/>
        <v>107</v>
      </c>
      <c r="CC5" s="25">
        <f t="shared" si="1"/>
        <v>107</v>
      </c>
      <c r="CD5" s="25">
        <f t="shared" si="1"/>
        <v>107</v>
      </c>
      <c r="CE5" s="25">
        <f t="shared" si="1"/>
        <v>107</v>
      </c>
      <c r="CF5" s="25">
        <f t="shared" si="1"/>
        <v>107</v>
      </c>
      <c r="CG5" s="25">
        <f t="shared" si="1"/>
        <v>107</v>
      </c>
      <c r="CH5" s="25">
        <f t="shared" si="1"/>
        <v>107</v>
      </c>
      <c r="CI5" s="25">
        <f t="shared" si="1"/>
        <v>107</v>
      </c>
      <c r="CJ5" s="25">
        <f t="shared" si="1"/>
        <v>107</v>
      </c>
      <c r="CK5" s="25">
        <f t="shared" si="1"/>
        <v>107</v>
      </c>
      <c r="CL5" s="25">
        <f t="shared" si="1"/>
        <v>107</v>
      </c>
      <c r="CM5" s="25">
        <f t="shared" si="1"/>
        <v>107</v>
      </c>
      <c r="CN5" s="25">
        <f t="shared" si="1"/>
        <v>107</v>
      </c>
      <c r="CO5" s="25">
        <f t="shared" si="1"/>
        <v>107</v>
      </c>
      <c r="CP5" s="25">
        <f t="shared" si="1"/>
        <v>107</v>
      </c>
      <c r="CQ5" s="25">
        <f t="shared" si="1"/>
        <v>107</v>
      </c>
      <c r="CR5" s="25">
        <f t="shared" si="1"/>
        <v>107</v>
      </c>
      <c r="CS5" s="25">
        <f t="shared" si="1"/>
        <v>107</v>
      </c>
      <c r="CT5" s="26">
        <f t="shared" si="1"/>
        <v>0</v>
      </c>
      <c r="CU5" s="26">
        <f t="shared" si="1"/>
        <v>0</v>
      </c>
      <c r="CV5" s="26">
        <f t="shared" si="1"/>
        <v>0</v>
      </c>
      <c r="CW5" s="27">
        <f t="shared" si="1"/>
        <v>0</v>
      </c>
      <c r="CX5" s="28">
        <f t="array" ref="CX5">SUMPRODUCT(B5:CW5*0.25)</f>
        <v>2875</v>
      </c>
    </row>
    <row r="6" spans="1:105" ht="20.100000000000001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5" ht="24.95" customHeight="1" thickBot="1" x14ac:dyDescent="0.25">
      <c r="A7" s="19" t="s">
        <v>5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5" ht="20.100000000000001" customHeight="1" x14ac:dyDescent="0.2">
      <c r="A8" s="23" t="s">
        <v>4</v>
      </c>
      <c r="B8" s="24">
        <f>B17+B35</f>
        <v>281</v>
      </c>
      <c r="C8" s="25">
        <f t="shared" ref="C8:BN8" si="2">C17+C35</f>
        <v>281</v>
      </c>
      <c r="D8" s="25">
        <f t="shared" si="2"/>
        <v>281</v>
      </c>
      <c r="E8" s="25">
        <f t="shared" si="2"/>
        <v>281</v>
      </c>
      <c r="F8" s="25">
        <f t="shared" si="2"/>
        <v>298</v>
      </c>
      <c r="G8" s="25">
        <f t="shared" si="2"/>
        <v>298</v>
      </c>
      <c r="H8" s="25">
        <f t="shared" si="2"/>
        <v>298</v>
      </c>
      <c r="I8" s="25">
        <f t="shared" si="2"/>
        <v>298</v>
      </c>
      <c r="J8" s="25">
        <f t="shared" si="2"/>
        <v>298</v>
      </c>
      <c r="K8" s="25">
        <f t="shared" si="2"/>
        <v>298</v>
      </c>
      <c r="L8" s="25">
        <f t="shared" si="2"/>
        <v>298</v>
      </c>
      <c r="M8" s="25">
        <f t="shared" si="2"/>
        <v>298</v>
      </c>
      <c r="N8" s="25">
        <f t="shared" si="2"/>
        <v>304</v>
      </c>
      <c r="O8" s="25">
        <f t="shared" si="2"/>
        <v>304</v>
      </c>
      <c r="P8" s="25">
        <f t="shared" si="2"/>
        <v>304</v>
      </c>
      <c r="Q8" s="25">
        <f t="shared" si="2"/>
        <v>304</v>
      </c>
      <c r="R8" s="25">
        <f t="shared" si="2"/>
        <v>299</v>
      </c>
      <c r="S8" s="25">
        <f t="shared" si="2"/>
        <v>299</v>
      </c>
      <c r="T8" s="25">
        <f t="shared" si="2"/>
        <v>299</v>
      </c>
      <c r="U8" s="25">
        <f t="shared" si="2"/>
        <v>299</v>
      </c>
      <c r="V8" s="25">
        <f t="shared" si="2"/>
        <v>304</v>
      </c>
      <c r="W8" s="25">
        <f t="shared" si="2"/>
        <v>304</v>
      </c>
      <c r="X8" s="25">
        <f t="shared" si="2"/>
        <v>304</v>
      </c>
      <c r="Y8" s="25">
        <f t="shared" si="2"/>
        <v>304</v>
      </c>
      <c r="Z8" s="25">
        <f t="shared" si="2"/>
        <v>328</v>
      </c>
      <c r="AA8" s="25">
        <f t="shared" si="2"/>
        <v>328</v>
      </c>
      <c r="AB8" s="25">
        <f t="shared" si="2"/>
        <v>328</v>
      </c>
      <c r="AC8" s="25">
        <f t="shared" si="2"/>
        <v>328</v>
      </c>
      <c r="AD8" s="25">
        <f t="shared" si="2"/>
        <v>364</v>
      </c>
      <c r="AE8" s="25">
        <f t="shared" si="2"/>
        <v>364</v>
      </c>
      <c r="AF8" s="25">
        <f t="shared" si="2"/>
        <v>364</v>
      </c>
      <c r="AG8" s="25">
        <f t="shared" si="2"/>
        <v>364</v>
      </c>
      <c r="AH8" s="25">
        <f t="shared" si="2"/>
        <v>376</v>
      </c>
      <c r="AI8" s="25">
        <f t="shared" si="2"/>
        <v>376</v>
      </c>
      <c r="AJ8" s="25">
        <f t="shared" si="2"/>
        <v>376</v>
      </c>
      <c r="AK8" s="25">
        <f t="shared" si="2"/>
        <v>376</v>
      </c>
      <c r="AL8" s="25">
        <f t="shared" si="2"/>
        <v>405</v>
      </c>
      <c r="AM8" s="25">
        <f t="shared" si="2"/>
        <v>405</v>
      </c>
      <c r="AN8" s="25">
        <f t="shared" si="2"/>
        <v>405</v>
      </c>
      <c r="AO8" s="25">
        <f t="shared" si="2"/>
        <v>405</v>
      </c>
      <c r="AP8" s="25">
        <f t="shared" si="2"/>
        <v>405</v>
      </c>
      <c r="AQ8" s="25">
        <f t="shared" si="2"/>
        <v>405</v>
      </c>
      <c r="AR8" s="25">
        <f t="shared" si="2"/>
        <v>405</v>
      </c>
      <c r="AS8" s="25">
        <f t="shared" si="2"/>
        <v>405</v>
      </c>
      <c r="AT8" s="25">
        <f t="shared" si="2"/>
        <v>405</v>
      </c>
      <c r="AU8" s="25">
        <f t="shared" si="2"/>
        <v>405</v>
      </c>
      <c r="AV8" s="25">
        <f t="shared" si="2"/>
        <v>405</v>
      </c>
      <c r="AW8" s="25">
        <f t="shared" si="2"/>
        <v>405</v>
      </c>
      <c r="AX8" s="25">
        <f t="shared" si="2"/>
        <v>405</v>
      </c>
      <c r="AY8" s="25">
        <f t="shared" si="2"/>
        <v>405</v>
      </c>
      <c r="AZ8" s="25">
        <f t="shared" si="2"/>
        <v>405</v>
      </c>
      <c r="BA8" s="25">
        <f t="shared" si="2"/>
        <v>405</v>
      </c>
      <c r="BB8" s="25">
        <f t="shared" si="2"/>
        <v>400</v>
      </c>
      <c r="BC8" s="25">
        <f t="shared" si="2"/>
        <v>400</v>
      </c>
      <c r="BD8" s="25">
        <f t="shared" si="2"/>
        <v>400</v>
      </c>
      <c r="BE8" s="25">
        <f t="shared" si="2"/>
        <v>400</v>
      </c>
      <c r="BF8" s="25">
        <f t="shared" si="2"/>
        <v>400</v>
      </c>
      <c r="BG8" s="25">
        <f t="shared" si="2"/>
        <v>400</v>
      </c>
      <c r="BH8" s="25">
        <f t="shared" si="2"/>
        <v>400</v>
      </c>
      <c r="BI8" s="25">
        <f t="shared" si="2"/>
        <v>400</v>
      </c>
      <c r="BJ8" s="25">
        <f t="shared" si="2"/>
        <v>377</v>
      </c>
      <c r="BK8" s="25">
        <f t="shared" si="2"/>
        <v>377</v>
      </c>
      <c r="BL8" s="25">
        <f t="shared" si="2"/>
        <v>377</v>
      </c>
      <c r="BM8" s="25">
        <f t="shared" si="2"/>
        <v>377</v>
      </c>
      <c r="BN8" s="25">
        <f t="shared" si="2"/>
        <v>377</v>
      </c>
      <c r="BO8" s="25">
        <f t="shared" ref="BO8:CW8" si="3">BO17+BO35</f>
        <v>377</v>
      </c>
      <c r="BP8" s="25">
        <f t="shared" si="3"/>
        <v>377</v>
      </c>
      <c r="BQ8" s="25">
        <f t="shared" si="3"/>
        <v>377</v>
      </c>
      <c r="BR8" s="25">
        <f t="shared" si="3"/>
        <v>365</v>
      </c>
      <c r="BS8" s="25">
        <f t="shared" si="3"/>
        <v>365</v>
      </c>
      <c r="BT8" s="25">
        <f t="shared" si="3"/>
        <v>365</v>
      </c>
      <c r="BU8" s="25">
        <f t="shared" si="3"/>
        <v>365</v>
      </c>
      <c r="BV8" s="25">
        <f t="shared" si="3"/>
        <v>369</v>
      </c>
      <c r="BW8" s="25">
        <f t="shared" si="3"/>
        <v>369</v>
      </c>
      <c r="BX8" s="25">
        <f t="shared" si="3"/>
        <v>369</v>
      </c>
      <c r="BY8" s="25">
        <f t="shared" si="3"/>
        <v>369</v>
      </c>
      <c r="BZ8" s="25">
        <f t="shared" si="3"/>
        <v>369</v>
      </c>
      <c r="CA8" s="25">
        <f t="shared" si="3"/>
        <v>369</v>
      </c>
      <c r="CB8" s="25">
        <f t="shared" si="3"/>
        <v>369</v>
      </c>
      <c r="CC8" s="25">
        <f t="shared" si="3"/>
        <v>369</v>
      </c>
      <c r="CD8" s="25">
        <f t="shared" si="3"/>
        <v>369</v>
      </c>
      <c r="CE8" s="25">
        <f t="shared" si="3"/>
        <v>369</v>
      </c>
      <c r="CF8" s="25">
        <f t="shared" si="3"/>
        <v>369</v>
      </c>
      <c r="CG8" s="25">
        <f t="shared" si="3"/>
        <v>369</v>
      </c>
      <c r="CH8" s="25">
        <f t="shared" si="3"/>
        <v>369</v>
      </c>
      <c r="CI8" s="25">
        <f t="shared" si="3"/>
        <v>369</v>
      </c>
      <c r="CJ8" s="25">
        <f t="shared" si="3"/>
        <v>369</v>
      </c>
      <c r="CK8" s="25">
        <f t="shared" si="3"/>
        <v>369</v>
      </c>
      <c r="CL8" s="25">
        <f t="shared" si="3"/>
        <v>369</v>
      </c>
      <c r="CM8" s="25">
        <f t="shared" si="3"/>
        <v>369</v>
      </c>
      <c r="CN8" s="25">
        <f t="shared" si="3"/>
        <v>369</v>
      </c>
      <c r="CO8" s="25">
        <f t="shared" si="3"/>
        <v>369</v>
      </c>
      <c r="CP8" s="25">
        <f t="shared" si="3"/>
        <v>317</v>
      </c>
      <c r="CQ8" s="25">
        <f t="shared" si="3"/>
        <v>317</v>
      </c>
      <c r="CR8" s="25">
        <f t="shared" si="3"/>
        <v>317</v>
      </c>
      <c r="CS8" s="25">
        <f t="shared" si="3"/>
        <v>317</v>
      </c>
      <c r="CT8" s="26">
        <f t="shared" si="3"/>
        <v>0</v>
      </c>
      <c r="CU8" s="26">
        <f t="shared" si="3"/>
        <v>0</v>
      </c>
      <c r="CV8" s="26">
        <f t="shared" si="3"/>
        <v>0</v>
      </c>
      <c r="CW8" s="27">
        <f t="shared" si="3"/>
        <v>0</v>
      </c>
      <c r="CX8" s="28">
        <f t="array" ref="CX8">SUMPRODUCT(B8:CW8*0.25)</f>
        <v>8553</v>
      </c>
      <c r="DA8" s="35"/>
    </row>
    <row r="9" spans="1:105" ht="20.100000000000001" customHeight="1" thickBot="1" x14ac:dyDescent="0.25">
      <c r="A9" s="36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2"/>
      <c r="CU9" s="32"/>
      <c r="CV9" s="32"/>
      <c r="CW9" s="33"/>
      <c r="CX9" s="34"/>
    </row>
    <row r="10" spans="1:105" ht="30" customHeight="1" thickBot="1" x14ac:dyDescent="0.25">
      <c r="A10" s="37" t="s">
        <v>6</v>
      </c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40"/>
      <c r="CX10" s="18" t="s">
        <v>2</v>
      </c>
    </row>
    <row r="11" spans="1:105" ht="20.100000000000001" customHeight="1" x14ac:dyDescent="0.2">
      <c r="A11" s="41" t="s">
        <v>7</v>
      </c>
      <c r="B11" s="42">
        <v>183</v>
      </c>
      <c r="C11" s="43">
        <v>183</v>
      </c>
      <c r="D11" s="43">
        <v>183</v>
      </c>
      <c r="E11" s="43">
        <v>183</v>
      </c>
      <c r="F11" s="43">
        <v>200</v>
      </c>
      <c r="G11" s="43">
        <v>200</v>
      </c>
      <c r="H11" s="43">
        <v>200</v>
      </c>
      <c r="I11" s="43">
        <v>200</v>
      </c>
      <c r="J11" s="43">
        <v>200</v>
      </c>
      <c r="K11" s="43">
        <v>200</v>
      </c>
      <c r="L11" s="43">
        <v>200</v>
      </c>
      <c r="M11" s="43">
        <v>200</v>
      </c>
      <c r="N11" s="43">
        <v>206</v>
      </c>
      <c r="O11" s="43">
        <v>206</v>
      </c>
      <c r="P11" s="43">
        <v>206</v>
      </c>
      <c r="Q11" s="43">
        <v>206</v>
      </c>
      <c r="R11" s="43">
        <v>201</v>
      </c>
      <c r="S11" s="43">
        <v>201</v>
      </c>
      <c r="T11" s="43">
        <v>201</v>
      </c>
      <c r="U11" s="43">
        <v>201</v>
      </c>
      <c r="V11" s="43">
        <v>206</v>
      </c>
      <c r="W11" s="43">
        <v>206</v>
      </c>
      <c r="X11" s="43">
        <v>206</v>
      </c>
      <c r="Y11" s="43">
        <v>206</v>
      </c>
      <c r="Z11" s="43">
        <v>230</v>
      </c>
      <c r="AA11" s="43">
        <v>230</v>
      </c>
      <c r="AB11" s="43">
        <v>230</v>
      </c>
      <c r="AC11" s="43">
        <v>230</v>
      </c>
      <c r="AD11" s="43">
        <v>263</v>
      </c>
      <c r="AE11" s="43">
        <v>263</v>
      </c>
      <c r="AF11" s="43">
        <v>263</v>
      </c>
      <c r="AG11" s="43">
        <v>263</v>
      </c>
      <c r="AH11" s="43">
        <v>263</v>
      </c>
      <c r="AI11" s="43">
        <v>263</v>
      </c>
      <c r="AJ11" s="43">
        <v>263</v>
      </c>
      <c r="AK11" s="43">
        <v>263</v>
      </c>
      <c r="AL11" s="43">
        <v>263</v>
      </c>
      <c r="AM11" s="43">
        <v>263</v>
      </c>
      <c r="AN11" s="43">
        <v>263</v>
      </c>
      <c r="AO11" s="43">
        <v>263</v>
      </c>
      <c r="AP11" s="43">
        <v>263</v>
      </c>
      <c r="AQ11" s="43">
        <v>263</v>
      </c>
      <c r="AR11" s="43">
        <v>263</v>
      </c>
      <c r="AS11" s="43">
        <v>263</v>
      </c>
      <c r="AT11" s="43">
        <v>263</v>
      </c>
      <c r="AU11" s="43">
        <v>263</v>
      </c>
      <c r="AV11" s="43">
        <v>263</v>
      </c>
      <c r="AW11" s="43">
        <v>263</v>
      </c>
      <c r="AX11" s="43">
        <v>263</v>
      </c>
      <c r="AY11" s="43">
        <v>263</v>
      </c>
      <c r="AZ11" s="43">
        <v>263</v>
      </c>
      <c r="BA11" s="43">
        <v>263</v>
      </c>
      <c r="BB11" s="43">
        <v>263</v>
      </c>
      <c r="BC11" s="43">
        <v>263</v>
      </c>
      <c r="BD11" s="43">
        <v>263</v>
      </c>
      <c r="BE11" s="43">
        <v>263</v>
      </c>
      <c r="BF11" s="43">
        <v>263</v>
      </c>
      <c r="BG11" s="43">
        <v>263</v>
      </c>
      <c r="BH11" s="43">
        <v>263</v>
      </c>
      <c r="BI11" s="43">
        <v>263</v>
      </c>
      <c r="BJ11" s="43">
        <v>263</v>
      </c>
      <c r="BK11" s="43">
        <v>263</v>
      </c>
      <c r="BL11" s="43">
        <v>263</v>
      </c>
      <c r="BM11" s="43">
        <v>263</v>
      </c>
      <c r="BN11" s="43">
        <v>263</v>
      </c>
      <c r="BO11" s="43">
        <v>263</v>
      </c>
      <c r="BP11" s="43">
        <v>263</v>
      </c>
      <c r="BQ11" s="43">
        <v>263</v>
      </c>
      <c r="BR11" s="43">
        <v>263</v>
      </c>
      <c r="BS11" s="43">
        <v>263</v>
      </c>
      <c r="BT11" s="43">
        <v>263</v>
      </c>
      <c r="BU11" s="43">
        <v>263</v>
      </c>
      <c r="BV11" s="43">
        <v>263</v>
      </c>
      <c r="BW11" s="43">
        <v>263</v>
      </c>
      <c r="BX11" s="43">
        <v>263</v>
      </c>
      <c r="BY11" s="43">
        <v>263</v>
      </c>
      <c r="BZ11" s="43">
        <v>263</v>
      </c>
      <c r="CA11" s="43">
        <v>263</v>
      </c>
      <c r="CB11" s="43">
        <v>263</v>
      </c>
      <c r="CC11" s="43">
        <v>263</v>
      </c>
      <c r="CD11" s="43">
        <v>263</v>
      </c>
      <c r="CE11" s="43">
        <v>263</v>
      </c>
      <c r="CF11" s="43">
        <v>263</v>
      </c>
      <c r="CG11" s="43">
        <v>263</v>
      </c>
      <c r="CH11" s="43">
        <v>263</v>
      </c>
      <c r="CI11" s="43">
        <v>263</v>
      </c>
      <c r="CJ11" s="43">
        <v>263</v>
      </c>
      <c r="CK11" s="43">
        <v>263</v>
      </c>
      <c r="CL11" s="43">
        <v>263</v>
      </c>
      <c r="CM11" s="43">
        <v>263</v>
      </c>
      <c r="CN11" s="43">
        <v>263</v>
      </c>
      <c r="CO11" s="43">
        <v>263</v>
      </c>
      <c r="CP11" s="43">
        <v>219</v>
      </c>
      <c r="CQ11" s="43">
        <v>219</v>
      </c>
      <c r="CR11" s="43">
        <v>219</v>
      </c>
      <c r="CS11" s="43">
        <v>219</v>
      </c>
      <c r="CT11" s="44"/>
      <c r="CU11" s="44"/>
      <c r="CV11" s="44"/>
      <c r="CW11" s="45"/>
      <c r="CX11" s="46">
        <f t="array" ref="CX11">SUMPRODUCT(B11:CW11*0.25)</f>
        <v>5853</v>
      </c>
    </row>
    <row r="12" spans="1:105" ht="20.100000000000001" customHeight="1" x14ac:dyDescent="0.2">
      <c r="A12" s="47" t="s">
        <v>8</v>
      </c>
      <c r="B12" s="48">
        <v>25</v>
      </c>
      <c r="C12" s="49">
        <v>25</v>
      </c>
      <c r="D12" s="49">
        <v>25</v>
      </c>
      <c r="E12" s="49">
        <v>25</v>
      </c>
      <c r="F12" s="49">
        <v>25</v>
      </c>
      <c r="G12" s="49">
        <v>25</v>
      </c>
      <c r="H12" s="49">
        <v>25</v>
      </c>
      <c r="I12" s="49">
        <v>25</v>
      </c>
      <c r="J12" s="49">
        <v>25</v>
      </c>
      <c r="K12" s="49">
        <v>25</v>
      </c>
      <c r="L12" s="49">
        <v>25</v>
      </c>
      <c r="M12" s="49">
        <v>25</v>
      </c>
      <c r="N12" s="49">
        <v>25</v>
      </c>
      <c r="O12" s="49">
        <v>25</v>
      </c>
      <c r="P12" s="49">
        <v>25</v>
      </c>
      <c r="Q12" s="49">
        <v>25</v>
      </c>
      <c r="R12" s="49">
        <v>25</v>
      </c>
      <c r="S12" s="49">
        <v>25</v>
      </c>
      <c r="T12" s="49">
        <v>25</v>
      </c>
      <c r="U12" s="49">
        <v>25</v>
      </c>
      <c r="V12" s="49">
        <v>25</v>
      </c>
      <c r="W12" s="49">
        <v>25</v>
      </c>
      <c r="X12" s="49">
        <v>25</v>
      </c>
      <c r="Y12" s="49">
        <v>25</v>
      </c>
      <c r="Z12" s="49">
        <v>25</v>
      </c>
      <c r="AA12" s="49">
        <v>25</v>
      </c>
      <c r="AB12" s="49">
        <v>25</v>
      </c>
      <c r="AC12" s="49">
        <v>25</v>
      </c>
      <c r="AD12" s="49">
        <v>25</v>
      </c>
      <c r="AE12" s="49">
        <v>25</v>
      </c>
      <c r="AF12" s="49">
        <v>25</v>
      </c>
      <c r="AG12" s="49">
        <v>25</v>
      </c>
      <c r="AH12" s="49">
        <v>25</v>
      </c>
      <c r="AI12" s="49">
        <v>25</v>
      </c>
      <c r="AJ12" s="49">
        <v>25</v>
      </c>
      <c r="AK12" s="49">
        <v>25</v>
      </c>
      <c r="AL12" s="49">
        <v>25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>
        <v>25</v>
      </c>
      <c r="BR12" s="49">
        <v>25</v>
      </c>
      <c r="BS12" s="49">
        <v>25</v>
      </c>
      <c r="BT12" s="49">
        <v>25</v>
      </c>
      <c r="BU12" s="49">
        <v>25</v>
      </c>
      <c r="BV12" s="49">
        <v>25</v>
      </c>
      <c r="BW12" s="49">
        <v>25</v>
      </c>
      <c r="BX12" s="49">
        <v>25</v>
      </c>
      <c r="BY12" s="49">
        <v>25</v>
      </c>
      <c r="BZ12" s="49">
        <v>25</v>
      </c>
      <c r="CA12" s="49">
        <v>25</v>
      </c>
      <c r="CB12" s="49">
        <v>25</v>
      </c>
      <c r="CC12" s="49">
        <v>25</v>
      </c>
      <c r="CD12" s="49">
        <v>25</v>
      </c>
      <c r="CE12" s="49">
        <v>25</v>
      </c>
      <c r="CF12" s="49">
        <v>25</v>
      </c>
      <c r="CG12" s="49">
        <v>25</v>
      </c>
      <c r="CH12" s="49">
        <v>25</v>
      </c>
      <c r="CI12" s="49">
        <v>25</v>
      </c>
      <c r="CJ12" s="49">
        <v>25</v>
      </c>
      <c r="CK12" s="49">
        <v>25</v>
      </c>
      <c r="CL12" s="49">
        <v>25</v>
      </c>
      <c r="CM12" s="49">
        <v>25</v>
      </c>
      <c r="CN12" s="49">
        <v>25</v>
      </c>
      <c r="CO12" s="49">
        <v>25</v>
      </c>
      <c r="CP12" s="49">
        <v>25</v>
      </c>
      <c r="CQ12" s="49">
        <v>25</v>
      </c>
      <c r="CR12" s="49">
        <v>25</v>
      </c>
      <c r="CS12" s="49">
        <v>25</v>
      </c>
      <c r="CT12" s="50"/>
      <c r="CU12" s="50"/>
      <c r="CV12" s="50"/>
      <c r="CW12" s="51"/>
      <c r="CX12" s="52">
        <f t="array" ref="CX12">SUMPRODUCT(B12:CW12*0.25)</f>
        <v>412.5</v>
      </c>
    </row>
    <row r="13" spans="1:105" ht="20.100000000000001" customHeight="1" x14ac:dyDescent="0.2">
      <c r="A13" s="47" t="s">
        <v>9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>
        <v>25</v>
      </c>
      <c r="AN13" s="49">
        <v>25</v>
      </c>
      <c r="AO13" s="49">
        <v>25</v>
      </c>
      <c r="AP13" s="49">
        <v>25</v>
      </c>
      <c r="AQ13" s="49">
        <v>25</v>
      </c>
      <c r="AR13" s="49">
        <v>25</v>
      </c>
      <c r="AS13" s="49">
        <v>25</v>
      </c>
      <c r="AT13" s="49">
        <v>25</v>
      </c>
      <c r="AU13" s="49">
        <v>25</v>
      </c>
      <c r="AV13" s="49">
        <v>25</v>
      </c>
      <c r="AW13" s="49">
        <v>25</v>
      </c>
      <c r="AX13" s="49">
        <v>25</v>
      </c>
      <c r="AY13" s="49">
        <v>25</v>
      </c>
      <c r="AZ13" s="49">
        <v>25</v>
      </c>
      <c r="BA13" s="49">
        <v>25</v>
      </c>
      <c r="BB13" s="49">
        <v>25</v>
      </c>
      <c r="BC13" s="49">
        <v>25</v>
      </c>
      <c r="BD13" s="49">
        <v>25</v>
      </c>
      <c r="BE13" s="49">
        <v>25</v>
      </c>
      <c r="BF13" s="49">
        <v>25</v>
      </c>
      <c r="BG13" s="49">
        <v>25</v>
      </c>
      <c r="BH13" s="49">
        <v>25</v>
      </c>
      <c r="BI13" s="49">
        <v>25</v>
      </c>
      <c r="BJ13" s="49">
        <v>25</v>
      </c>
      <c r="BK13" s="49">
        <v>25</v>
      </c>
      <c r="BL13" s="49">
        <v>25</v>
      </c>
      <c r="BM13" s="49">
        <v>25</v>
      </c>
      <c r="BN13" s="49">
        <v>25</v>
      </c>
      <c r="BO13" s="49">
        <v>25</v>
      </c>
      <c r="BP13" s="49">
        <v>25</v>
      </c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50"/>
      <c r="CU13" s="50"/>
      <c r="CV13" s="50"/>
      <c r="CW13" s="51"/>
      <c r="CX13" s="52">
        <f t="array" ref="CX13">SUMPRODUCT(B13:CW13*0.25)</f>
        <v>187.5</v>
      </c>
    </row>
    <row r="14" spans="1:105" ht="20.100000000000001" customHeight="1" x14ac:dyDescent="0.2">
      <c r="A14" s="47" t="s">
        <v>10</v>
      </c>
      <c r="B14" s="48">
        <v>59</v>
      </c>
      <c r="C14" s="49">
        <v>59</v>
      </c>
      <c r="D14" s="49">
        <v>59</v>
      </c>
      <c r="E14" s="49">
        <v>59</v>
      </c>
      <c r="F14" s="49">
        <v>59</v>
      </c>
      <c r="G14" s="49">
        <v>59</v>
      </c>
      <c r="H14" s="49">
        <v>59</v>
      </c>
      <c r="I14" s="49">
        <v>59</v>
      </c>
      <c r="J14" s="49">
        <v>59</v>
      </c>
      <c r="K14" s="49">
        <v>59</v>
      </c>
      <c r="L14" s="49">
        <v>59</v>
      </c>
      <c r="M14" s="49">
        <v>59</v>
      </c>
      <c r="N14" s="49">
        <v>59</v>
      </c>
      <c r="O14" s="49">
        <v>59</v>
      </c>
      <c r="P14" s="49">
        <v>59</v>
      </c>
      <c r="Q14" s="49">
        <v>59</v>
      </c>
      <c r="R14" s="49">
        <v>59</v>
      </c>
      <c r="S14" s="49">
        <v>59</v>
      </c>
      <c r="T14" s="49">
        <v>59</v>
      </c>
      <c r="U14" s="49">
        <v>59</v>
      </c>
      <c r="V14" s="49">
        <v>59</v>
      </c>
      <c r="W14" s="49">
        <v>59</v>
      </c>
      <c r="X14" s="49">
        <v>59</v>
      </c>
      <c r="Y14" s="49">
        <v>59</v>
      </c>
      <c r="Z14" s="49">
        <v>59</v>
      </c>
      <c r="AA14" s="49">
        <v>59</v>
      </c>
      <c r="AB14" s="49">
        <v>59</v>
      </c>
      <c r="AC14" s="49">
        <v>59</v>
      </c>
      <c r="AD14" s="49">
        <v>62</v>
      </c>
      <c r="AE14" s="49">
        <v>62</v>
      </c>
      <c r="AF14" s="49">
        <v>62</v>
      </c>
      <c r="AG14" s="49">
        <v>62</v>
      </c>
      <c r="AH14" s="49">
        <v>74</v>
      </c>
      <c r="AI14" s="49">
        <v>74</v>
      </c>
      <c r="AJ14" s="49">
        <v>74</v>
      </c>
      <c r="AK14" s="49">
        <v>74</v>
      </c>
      <c r="AL14" s="49">
        <v>104</v>
      </c>
      <c r="AM14" s="49">
        <v>104</v>
      </c>
      <c r="AN14" s="49">
        <v>104</v>
      </c>
      <c r="AO14" s="49">
        <v>104</v>
      </c>
      <c r="AP14" s="49">
        <v>104</v>
      </c>
      <c r="AQ14" s="49">
        <v>104</v>
      </c>
      <c r="AR14" s="49">
        <v>104</v>
      </c>
      <c r="AS14" s="49">
        <v>104</v>
      </c>
      <c r="AT14" s="49">
        <v>104</v>
      </c>
      <c r="AU14" s="49">
        <v>104</v>
      </c>
      <c r="AV14" s="49">
        <v>104</v>
      </c>
      <c r="AW14" s="49">
        <v>104</v>
      </c>
      <c r="AX14" s="49">
        <v>104</v>
      </c>
      <c r="AY14" s="49">
        <v>104</v>
      </c>
      <c r="AZ14" s="49">
        <v>104</v>
      </c>
      <c r="BA14" s="49">
        <v>104</v>
      </c>
      <c r="BB14" s="49">
        <v>99</v>
      </c>
      <c r="BC14" s="49">
        <v>99</v>
      </c>
      <c r="BD14" s="49">
        <v>99</v>
      </c>
      <c r="BE14" s="49">
        <v>99</v>
      </c>
      <c r="BF14" s="49">
        <v>99</v>
      </c>
      <c r="BG14" s="49">
        <v>99</v>
      </c>
      <c r="BH14" s="49">
        <v>99</v>
      </c>
      <c r="BI14" s="49">
        <v>99</v>
      </c>
      <c r="BJ14" s="49">
        <v>76</v>
      </c>
      <c r="BK14" s="49">
        <v>76</v>
      </c>
      <c r="BL14" s="49">
        <v>76</v>
      </c>
      <c r="BM14" s="49">
        <v>76</v>
      </c>
      <c r="BN14" s="49">
        <v>71</v>
      </c>
      <c r="BO14" s="49">
        <v>71</v>
      </c>
      <c r="BP14" s="49">
        <v>71</v>
      </c>
      <c r="BQ14" s="49">
        <v>71</v>
      </c>
      <c r="BR14" s="49">
        <v>59</v>
      </c>
      <c r="BS14" s="49">
        <v>59</v>
      </c>
      <c r="BT14" s="49">
        <v>59</v>
      </c>
      <c r="BU14" s="49">
        <v>59</v>
      </c>
      <c r="BV14" s="49">
        <v>59</v>
      </c>
      <c r="BW14" s="49">
        <v>59</v>
      </c>
      <c r="BX14" s="49">
        <v>59</v>
      </c>
      <c r="BY14" s="49">
        <v>59</v>
      </c>
      <c r="BZ14" s="49">
        <v>59</v>
      </c>
      <c r="CA14" s="49">
        <v>59</v>
      </c>
      <c r="CB14" s="49">
        <v>59</v>
      </c>
      <c r="CC14" s="49">
        <v>59</v>
      </c>
      <c r="CD14" s="49">
        <v>59</v>
      </c>
      <c r="CE14" s="49">
        <v>59</v>
      </c>
      <c r="CF14" s="49">
        <v>59</v>
      </c>
      <c r="CG14" s="49">
        <v>59</v>
      </c>
      <c r="CH14" s="49">
        <v>59</v>
      </c>
      <c r="CI14" s="49">
        <v>59</v>
      </c>
      <c r="CJ14" s="49">
        <v>59</v>
      </c>
      <c r="CK14" s="49">
        <v>59</v>
      </c>
      <c r="CL14" s="49">
        <v>59</v>
      </c>
      <c r="CM14" s="49">
        <v>59</v>
      </c>
      <c r="CN14" s="49">
        <v>59</v>
      </c>
      <c r="CO14" s="49">
        <v>59</v>
      </c>
      <c r="CP14" s="49">
        <v>59</v>
      </c>
      <c r="CQ14" s="49">
        <v>59</v>
      </c>
      <c r="CR14" s="49">
        <v>59</v>
      </c>
      <c r="CS14" s="49">
        <v>59</v>
      </c>
      <c r="CT14" s="50"/>
      <c r="CU14" s="50"/>
      <c r="CV14" s="50"/>
      <c r="CW14" s="51"/>
      <c r="CX14" s="53">
        <f t="array" ref="CX14">SUMPRODUCT(B14:CW14*0.25)</f>
        <v>1723</v>
      </c>
    </row>
    <row r="15" spans="1:105" ht="20.100000000000001" customHeight="1" x14ac:dyDescent="0.2">
      <c r="A15" s="54" t="s">
        <v>11</v>
      </c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7"/>
      <c r="CU15" s="57"/>
      <c r="CV15" s="57"/>
      <c r="CW15" s="58"/>
      <c r="CX15" s="53">
        <f t="array" ref="CX15">SUMPRODUCT(B15:CW15*0.25)</f>
        <v>0</v>
      </c>
    </row>
    <row r="16" spans="1:105" ht="20.100000000000001" customHeight="1" thickBot="1" x14ac:dyDescent="0.25">
      <c r="A16" s="59" t="s">
        <v>12</v>
      </c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2"/>
      <c r="CU16" s="62"/>
      <c r="CV16" s="62"/>
      <c r="CW16" s="63"/>
      <c r="CX16" s="64">
        <f t="array" ref="CX16">SUMPRODUCT(B16:CW16*0.25)</f>
        <v>0</v>
      </c>
    </row>
    <row r="17" spans="1:102" ht="30" customHeight="1" thickBot="1" x14ac:dyDescent="0.25">
      <c r="A17" s="65" t="s">
        <v>13</v>
      </c>
      <c r="B17" s="66">
        <f>SUM(B11:B16)</f>
        <v>267</v>
      </c>
      <c r="C17" s="67">
        <f t="shared" ref="C17:BN17" si="4">SUM(C11:C16)</f>
        <v>267</v>
      </c>
      <c r="D17" s="67">
        <f t="shared" si="4"/>
        <v>267</v>
      </c>
      <c r="E17" s="67">
        <f t="shared" si="4"/>
        <v>267</v>
      </c>
      <c r="F17" s="67">
        <f t="shared" si="4"/>
        <v>284</v>
      </c>
      <c r="G17" s="67">
        <f t="shared" si="4"/>
        <v>284</v>
      </c>
      <c r="H17" s="67">
        <f t="shared" si="4"/>
        <v>284</v>
      </c>
      <c r="I17" s="67">
        <f t="shared" si="4"/>
        <v>284</v>
      </c>
      <c r="J17" s="67">
        <f t="shared" si="4"/>
        <v>284</v>
      </c>
      <c r="K17" s="67">
        <f t="shared" si="4"/>
        <v>284</v>
      </c>
      <c r="L17" s="67">
        <f t="shared" si="4"/>
        <v>284</v>
      </c>
      <c r="M17" s="67">
        <f t="shared" si="4"/>
        <v>284</v>
      </c>
      <c r="N17" s="67">
        <f t="shared" si="4"/>
        <v>290</v>
      </c>
      <c r="O17" s="67">
        <f t="shared" si="4"/>
        <v>290</v>
      </c>
      <c r="P17" s="67">
        <f t="shared" si="4"/>
        <v>290</v>
      </c>
      <c r="Q17" s="67">
        <f t="shared" si="4"/>
        <v>290</v>
      </c>
      <c r="R17" s="67">
        <f t="shared" si="4"/>
        <v>285</v>
      </c>
      <c r="S17" s="67">
        <f t="shared" si="4"/>
        <v>285</v>
      </c>
      <c r="T17" s="67">
        <f t="shared" si="4"/>
        <v>285</v>
      </c>
      <c r="U17" s="67">
        <f t="shared" si="4"/>
        <v>285</v>
      </c>
      <c r="V17" s="67">
        <f t="shared" si="4"/>
        <v>290</v>
      </c>
      <c r="W17" s="67">
        <f t="shared" si="4"/>
        <v>290</v>
      </c>
      <c r="X17" s="67">
        <f t="shared" si="4"/>
        <v>290</v>
      </c>
      <c r="Y17" s="67">
        <f t="shared" si="4"/>
        <v>290</v>
      </c>
      <c r="Z17" s="67">
        <f t="shared" si="4"/>
        <v>314</v>
      </c>
      <c r="AA17" s="67">
        <f t="shared" si="4"/>
        <v>314</v>
      </c>
      <c r="AB17" s="67">
        <f t="shared" si="4"/>
        <v>314</v>
      </c>
      <c r="AC17" s="67">
        <f t="shared" si="4"/>
        <v>314</v>
      </c>
      <c r="AD17" s="67">
        <f t="shared" si="4"/>
        <v>350</v>
      </c>
      <c r="AE17" s="67">
        <f t="shared" si="4"/>
        <v>350</v>
      </c>
      <c r="AF17" s="67">
        <f t="shared" si="4"/>
        <v>350</v>
      </c>
      <c r="AG17" s="67">
        <f t="shared" si="4"/>
        <v>350</v>
      </c>
      <c r="AH17" s="67">
        <f t="shared" si="4"/>
        <v>362</v>
      </c>
      <c r="AI17" s="67">
        <f t="shared" si="4"/>
        <v>362</v>
      </c>
      <c r="AJ17" s="67">
        <f t="shared" si="4"/>
        <v>362</v>
      </c>
      <c r="AK17" s="67">
        <f t="shared" si="4"/>
        <v>362</v>
      </c>
      <c r="AL17" s="67">
        <f t="shared" si="4"/>
        <v>392</v>
      </c>
      <c r="AM17" s="67">
        <f t="shared" si="4"/>
        <v>392</v>
      </c>
      <c r="AN17" s="67">
        <f t="shared" si="4"/>
        <v>392</v>
      </c>
      <c r="AO17" s="67">
        <f t="shared" si="4"/>
        <v>392</v>
      </c>
      <c r="AP17" s="67">
        <f t="shared" si="4"/>
        <v>392</v>
      </c>
      <c r="AQ17" s="67">
        <f t="shared" si="4"/>
        <v>392</v>
      </c>
      <c r="AR17" s="67">
        <f t="shared" si="4"/>
        <v>392</v>
      </c>
      <c r="AS17" s="67">
        <f t="shared" si="4"/>
        <v>392</v>
      </c>
      <c r="AT17" s="67">
        <f t="shared" si="4"/>
        <v>392</v>
      </c>
      <c r="AU17" s="67">
        <f t="shared" si="4"/>
        <v>392</v>
      </c>
      <c r="AV17" s="67">
        <f t="shared" si="4"/>
        <v>392</v>
      </c>
      <c r="AW17" s="67">
        <f t="shared" si="4"/>
        <v>392</v>
      </c>
      <c r="AX17" s="67">
        <f t="shared" si="4"/>
        <v>392</v>
      </c>
      <c r="AY17" s="67">
        <f t="shared" si="4"/>
        <v>392</v>
      </c>
      <c r="AZ17" s="67">
        <f t="shared" si="4"/>
        <v>392</v>
      </c>
      <c r="BA17" s="67">
        <f t="shared" si="4"/>
        <v>392</v>
      </c>
      <c r="BB17" s="67">
        <f t="shared" si="4"/>
        <v>387</v>
      </c>
      <c r="BC17" s="67">
        <f t="shared" si="4"/>
        <v>387</v>
      </c>
      <c r="BD17" s="67">
        <f t="shared" si="4"/>
        <v>387</v>
      </c>
      <c r="BE17" s="67">
        <f t="shared" si="4"/>
        <v>387</v>
      </c>
      <c r="BF17" s="67">
        <f t="shared" si="4"/>
        <v>387</v>
      </c>
      <c r="BG17" s="67">
        <f t="shared" si="4"/>
        <v>387</v>
      </c>
      <c r="BH17" s="67">
        <f t="shared" si="4"/>
        <v>387</v>
      </c>
      <c r="BI17" s="67">
        <f t="shared" si="4"/>
        <v>387</v>
      </c>
      <c r="BJ17" s="67">
        <f t="shared" si="4"/>
        <v>364</v>
      </c>
      <c r="BK17" s="67">
        <f t="shared" si="4"/>
        <v>364</v>
      </c>
      <c r="BL17" s="67">
        <f t="shared" si="4"/>
        <v>364</v>
      </c>
      <c r="BM17" s="67">
        <f t="shared" si="4"/>
        <v>364</v>
      </c>
      <c r="BN17" s="67">
        <f t="shared" si="4"/>
        <v>359</v>
      </c>
      <c r="BO17" s="67">
        <f t="shared" ref="BO17:CW17" si="5">SUM(BO11:BO16)</f>
        <v>359</v>
      </c>
      <c r="BP17" s="67">
        <f t="shared" si="5"/>
        <v>359</v>
      </c>
      <c r="BQ17" s="67">
        <f t="shared" si="5"/>
        <v>359</v>
      </c>
      <c r="BR17" s="67">
        <f t="shared" si="5"/>
        <v>347</v>
      </c>
      <c r="BS17" s="67">
        <f t="shared" si="5"/>
        <v>347</v>
      </c>
      <c r="BT17" s="67">
        <f t="shared" si="5"/>
        <v>347</v>
      </c>
      <c r="BU17" s="67">
        <f t="shared" si="5"/>
        <v>347</v>
      </c>
      <c r="BV17" s="67">
        <f t="shared" si="5"/>
        <v>347</v>
      </c>
      <c r="BW17" s="67">
        <f t="shared" si="5"/>
        <v>347</v>
      </c>
      <c r="BX17" s="67">
        <f t="shared" si="5"/>
        <v>347</v>
      </c>
      <c r="BY17" s="67">
        <f t="shared" si="5"/>
        <v>347</v>
      </c>
      <c r="BZ17" s="67">
        <f t="shared" si="5"/>
        <v>347</v>
      </c>
      <c r="CA17" s="67">
        <f t="shared" si="5"/>
        <v>347</v>
      </c>
      <c r="CB17" s="67">
        <f t="shared" si="5"/>
        <v>347</v>
      </c>
      <c r="CC17" s="67">
        <f t="shared" si="5"/>
        <v>347</v>
      </c>
      <c r="CD17" s="67">
        <f t="shared" si="5"/>
        <v>347</v>
      </c>
      <c r="CE17" s="67">
        <f t="shared" si="5"/>
        <v>347</v>
      </c>
      <c r="CF17" s="67">
        <f t="shared" si="5"/>
        <v>347</v>
      </c>
      <c r="CG17" s="67">
        <f t="shared" si="5"/>
        <v>347</v>
      </c>
      <c r="CH17" s="67">
        <f t="shared" si="5"/>
        <v>347</v>
      </c>
      <c r="CI17" s="67">
        <f t="shared" si="5"/>
        <v>347</v>
      </c>
      <c r="CJ17" s="67">
        <f t="shared" si="5"/>
        <v>347</v>
      </c>
      <c r="CK17" s="67">
        <f t="shared" si="5"/>
        <v>347</v>
      </c>
      <c r="CL17" s="67">
        <f t="shared" si="5"/>
        <v>347</v>
      </c>
      <c r="CM17" s="67">
        <f t="shared" si="5"/>
        <v>347</v>
      </c>
      <c r="CN17" s="67">
        <f t="shared" si="5"/>
        <v>347</v>
      </c>
      <c r="CO17" s="67">
        <f t="shared" si="5"/>
        <v>347</v>
      </c>
      <c r="CP17" s="67">
        <f t="shared" si="5"/>
        <v>303</v>
      </c>
      <c r="CQ17" s="67">
        <f t="shared" si="5"/>
        <v>303</v>
      </c>
      <c r="CR17" s="67">
        <f t="shared" si="5"/>
        <v>303</v>
      </c>
      <c r="CS17" s="67">
        <f t="shared" si="5"/>
        <v>303</v>
      </c>
      <c r="CT17" s="68">
        <f t="shared" si="5"/>
        <v>0</v>
      </c>
      <c r="CU17" s="68">
        <f t="shared" si="5"/>
        <v>0</v>
      </c>
      <c r="CV17" s="68">
        <f t="shared" si="5"/>
        <v>0</v>
      </c>
      <c r="CW17" s="69">
        <f t="shared" si="5"/>
        <v>0</v>
      </c>
      <c r="CX17" s="70">
        <f>SUM(CX11:CX16)</f>
        <v>8176</v>
      </c>
    </row>
    <row r="18" spans="1:102" ht="18" customHeight="1" thickBot="1" x14ac:dyDescent="0.25">
      <c r="A18" s="71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4"/>
    </row>
    <row r="19" spans="1:102" ht="30" customHeight="1" thickBot="1" x14ac:dyDescent="0.25">
      <c r="A19" s="37" t="s">
        <v>14</v>
      </c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40"/>
      <c r="CX19" s="18" t="s">
        <v>2</v>
      </c>
    </row>
    <row r="20" spans="1:102" ht="20.100000000000001" customHeight="1" x14ac:dyDescent="0.2">
      <c r="A20" s="75" t="s">
        <v>15</v>
      </c>
      <c r="B20" s="76">
        <v>29</v>
      </c>
      <c r="C20" s="77">
        <v>29</v>
      </c>
      <c r="D20" s="77">
        <v>29</v>
      </c>
      <c r="E20" s="77">
        <v>29</v>
      </c>
      <c r="F20" s="77">
        <v>29</v>
      </c>
      <c r="G20" s="77">
        <v>29</v>
      </c>
      <c r="H20" s="77">
        <v>29</v>
      </c>
      <c r="I20" s="77">
        <v>29</v>
      </c>
      <c r="J20" s="77">
        <v>29</v>
      </c>
      <c r="K20" s="77">
        <v>29</v>
      </c>
      <c r="L20" s="77">
        <v>29</v>
      </c>
      <c r="M20" s="77">
        <v>29</v>
      </c>
      <c r="N20" s="77">
        <v>29</v>
      </c>
      <c r="O20" s="77">
        <v>29</v>
      </c>
      <c r="P20" s="77">
        <v>29</v>
      </c>
      <c r="Q20" s="77">
        <v>29</v>
      </c>
      <c r="R20" s="77">
        <v>29</v>
      </c>
      <c r="S20" s="77">
        <v>29</v>
      </c>
      <c r="T20" s="77">
        <v>29</v>
      </c>
      <c r="U20" s="77">
        <v>29</v>
      </c>
      <c r="V20" s="77">
        <v>29</v>
      </c>
      <c r="W20" s="77">
        <v>29</v>
      </c>
      <c r="X20" s="77">
        <v>29</v>
      </c>
      <c r="Y20" s="77">
        <v>29</v>
      </c>
      <c r="Z20" s="77">
        <v>29</v>
      </c>
      <c r="AA20" s="77">
        <v>29</v>
      </c>
      <c r="AB20" s="77">
        <v>29</v>
      </c>
      <c r="AC20" s="77">
        <v>29</v>
      </c>
      <c r="AD20" s="77">
        <v>32</v>
      </c>
      <c r="AE20" s="77">
        <v>32</v>
      </c>
      <c r="AF20" s="77">
        <v>32</v>
      </c>
      <c r="AG20" s="77">
        <v>32</v>
      </c>
      <c r="AH20" s="77">
        <v>44</v>
      </c>
      <c r="AI20" s="77">
        <v>44</v>
      </c>
      <c r="AJ20" s="77">
        <v>44</v>
      </c>
      <c r="AK20" s="77">
        <v>44</v>
      </c>
      <c r="AL20" s="77">
        <v>74</v>
      </c>
      <c r="AM20" s="77">
        <v>74</v>
      </c>
      <c r="AN20" s="77">
        <v>74</v>
      </c>
      <c r="AO20" s="77">
        <v>74</v>
      </c>
      <c r="AP20" s="77">
        <v>74</v>
      </c>
      <c r="AQ20" s="77">
        <v>74</v>
      </c>
      <c r="AR20" s="77">
        <v>74</v>
      </c>
      <c r="AS20" s="77">
        <v>74</v>
      </c>
      <c r="AT20" s="77">
        <v>74</v>
      </c>
      <c r="AU20" s="77">
        <v>74</v>
      </c>
      <c r="AV20" s="77">
        <v>74</v>
      </c>
      <c r="AW20" s="77">
        <v>74</v>
      </c>
      <c r="AX20" s="77">
        <v>74</v>
      </c>
      <c r="AY20" s="77">
        <v>74</v>
      </c>
      <c r="AZ20" s="77">
        <v>74</v>
      </c>
      <c r="BA20" s="77">
        <v>74</v>
      </c>
      <c r="BB20" s="77">
        <v>69</v>
      </c>
      <c r="BC20" s="77">
        <v>69</v>
      </c>
      <c r="BD20" s="77">
        <v>69</v>
      </c>
      <c r="BE20" s="77">
        <v>69</v>
      </c>
      <c r="BF20" s="77">
        <v>69</v>
      </c>
      <c r="BG20" s="77">
        <v>69</v>
      </c>
      <c r="BH20" s="77">
        <v>69</v>
      </c>
      <c r="BI20" s="77">
        <v>69</v>
      </c>
      <c r="BJ20" s="77">
        <v>46</v>
      </c>
      <c r="BK20" s="77">
        <v>46</v>
      </c>
      <c r="BL20" s="77">
        <v>46</v>
      </c>
      <c r="BM20" s="77">
        <v>46</v>
      </c>
      <c r="BN20" s="77">
        <v>41</v>
      </c>
      <c r="BO20" s="77">
        <v>41</v>
      </c>
      <c r="BP20" s="77">
        <v>41</v>
      </c>
      <c r="BQ20" s="77">
        <v>41</v>
      </c>
      <c r="BR20" s="77">
        <v>29</v>
      </c>
      <c r="BS20" s="77">
        <v>29</v>
      </c>
      <c r="BT20" s="77">
        <v>29</v>
      </c>
      <c r="BU20" s="77">
        <v>29</v>
      </c>
      <c r="BV20" s="77">
        <v>29</v>
      </c>
      <c r="BW20" s="77">
        <v>29</v>
      </c>
      <c r="BX20" s="77">
        <v>29</v>
      </c>
      <c r="BY20" s="77">
        <v>29</v>
      </c>
      <c r="BZ20" s="77">
        <v>29</v>
      </c>
      <c r="CA20" s="77">
        <v>29</v>
      </c>
      <c r="CB20" s="77">
        <v>29</v>
      </c>
      <c r="CC20" s="77">
        <v>29</v>
      </c>
      <c r="CD20" s="77">
        <v>29</v>
      </c>
      <c r="CE20" s="77">
        <v>29</v>
      </c>
      <c r="CF20" s="77">
        <v>29</v>
      </c>
      <c r="CG20" s="77">
        <v>29</v>
      </c>
      <c r="CH20" s="77">
        <v>29</v>
      </c>
      <c r="CI20" s="77">
        <v>29</v>
      </c>
      <c r="CJ20" s="77">
        <v>29</v>
      </c>
      <c r="CK20" s="77">
        <v>29</v>
      </c>
      <c r="CL20" s="77">
        <v>29</v>
      </c>
      <c r="CM20" s="77">
        <v>29</v>
      </c>
      <c r="CN20" s="77">
        <v>29</v>
      </c>
      <c r="CO20" s="77">
        <v>29</v>
      </c>
      <c r="CP20" s="77">
        <v>29</v>
      </c>
      <c r="CQ20" s="77">
        <v>29</v>
      </c>
      <c r="CR20" s="77">
        <v>29</v>
      </c>
      <c r="CS20" s="77">
        <v>29</v>
      </c>
      <c r="CT20" s="78"/>
      <c r="CU20" s="78"/>
      <c r="CV20" s="78"/>
      <c r="CW20" s="79"/>
      <c r="CX20" s="80">
        <f t="array" ref="CX20">SUMPRODUCT(B20:CW20*0.25)</f>
        <v>1003</v>
      </c>
    </row>
    <row r="21" spans="1:102" ht="20.100000000000001" customHeight="1" x14ac:dyDescent="0.2">
      <c r="A21" s="81" t="s">
        <v>16</v>
      </c>
      <c r="B21" s="82">
        <v>47</v>
      </c>
      <c r="C21" s="83">
        <v>47</v>
      </c>
      <c r="D21" s="83">
        <v>47</v>
      </c>
      <c r="E21" s="83">
        <v>47</v>
      </c>
      <c r="F21" s="83">
        <v>47</v>
      </c>
      <c r="G21" s="83">
        <v>47</v>
      </c>
      <c r="H21" s="83">
        <v>47</v>
      </c>
      <c r="I21" s="83">
        <v>47</v>
      </c>
      <c r="J21" s="83">
        <v>47</v>
      </c>
      <c r="K21" s="83">
        <v>47</v>
      </c>
      <c r="L21" s="83">
        <v>47</v>
      </c>
      <c r="M21" s="83">
        <v>47</v>
      </c>
      <c r="N21" s="83">
        <v>47</v>
      </c>
      <c r="O21" s="83">
        <v>47</v>
      </c>
      <c r="P21" s="83">
        <v>47</v>
      </c>
      <c r="Q21" s="83">
        <v>47</v>
      </c>
      <c r="R21" s="83">
        <v>47</v>
      </c>
      <c r="S21" s="83">
        <v>47</v>
      </c>
      <c r="T21" s="83">
        <v>47</v>
      </c>
      <c r="U21" s="83">
        <v>47</v>
      </c>
      <c r="V21" s="83">
        <v>47</v>
      </c>
      <c r="W21" s="83">
        <v>47</v>
      </c>
      <c r="X21" s="83">
        <v>47</v>
      </c>
      <c r="Y21" s="83">
        <v>47</v>
      </c>
      <c r="Z21" s="83">
        <v>47</v>
      </c>
      <c r="AA21" s="83">
        <v>47</v>
      </c>
      <c r="AB21" s="83">
        <v>47</v>
      </c>
      <c r="AC21" s="83">
        <v>47</v>
      </c>
      <c r="AD21" s="83">
        <v>47</v>
      </c>
      <c r="AE21" s="83">
        <v>47</v>
      </c>
      <c r="AF21" s="83">
        <v>47</v>
      </c>
      <c r="AG21" s="83">
        <v>47</v>
      </c>
      <c r="AH21" s="83">
        <v>47</v>
      </c>
      <c r="AI21" s="83">
        <v>47</v>
      </c>
      <c r="AJ21" s="83">
        <v>47</v>
      </c>
      <c r="AK21" s="83">
        <v>47</v>
      </c>
      <c r="AL21" s="83">
        <v>47</v>
      </c>
      <c r="AM21" s="83">
        <v>47</v>
      </c>
      <c r="AN21" s="83">
        <v>47</v>
      </c>
      <c r="AO21" s="83">
        <v>47</v>
      </c>
      <c r="AP21" s="83">
        <v>47</v>
      </c>
      <c r="AQ21" s="83">
        <v>47</v>
      </c>
      <c r="AR21" s="83">
        <v>47</v>
      </c>
      <c r="AS21" s="83">
        <v>47</v>
      </c>
      <c r="AT21" s="83">
        <v>47</v>
      </c>
      <c r="AU21" s="83">
        <v>47</v>
      </c>
      <c r="AV21" s="83">
        <v>47</v>
      </c>
      <c r="AW21" s="83">
        <v>47</v>
      </c>
      <c r="AX21" s="83">
        <v>47</v>
      </c>
      <c r="AY21" s="83">
        <v>47</v>
      </c>
      <c r="AZ21" s="83">
        <v>47</v>
      </c>
      <c r="BA21" s="83">
        <v>47</v>
      </c>
      <c r="BB21" s="83">
        <v>47</v>
      </c>
      <c r="BC21" s="83">
        <v>47</v>
      </c>
      <c r="BD21" s="83">
        <v>47</v>
      </c>
      <c r="BE21" s="83">
        <v>47</v>
      </c>
      <c r="BF21" s="83">
        <v>47</v>
      </c>
      <c r="BG21" s="83">
        <v>47</v>
      </c>
      <c r="BH21" s="83">
        <v>47</v>
      </c>
      <c r="BI21" s="83">
        <v>47</v>
      </c>
      <c r="BJ21" s="83">
        <v>47</v>
      </c>
      <c r="BK21" s="83">
        <v>47</v>
      </c>
      <c r="BL21" s="83">
        <v>47</v>
      </c>
      <c r="BM21" s="83">
        <v>47</v>
      </c>
      <c r="BN21" s="83">
        <v>47</v>
      </c>
      <c r="BO21" s="83">
        <v>47</v>
      </c>
      <c r="BP21" s="83">
        <v>47</v>
      </c>
      <c r="BQ21" s="83">
        <v>47</v>
      </c>
      <c r="BR21" s="83">
        <v>47</v>
      </c>
      <c r="BS21" s="83">
        <v>47</v>
      </c>
      <c r="BT21" s="83">
        <v>47</v>
      </c>
      <c r="BU21" s="83">
        <v>47</v>
      </c>
      <c r="BV21" s="83">
        <v>47</v>
      </c>
      <c r="BW21" s="83">
        <v>47</v>
      </c>
      <c r="BX21" s="83">
        <v>47</v>
      </c>
      <c r="BY21" s="83">
        <v>47</v>
      </c>
      <c r="BZ21" s="83">
        <v>47</v>
      </c>
      <c r="CA21" s="83">
        <v>47</v>
      </c>
      <c r="CB21" s="83">
        <v>47</v>
      </c>
      <c r="CC21" s="83">
        <v>47</v>
      </c>
      <c r="CD21" s="83">
        <v>47</v>
      </c>
      <c r="CE21" s="83">
        <v>47</v>
      </c>
      <c r="CF21" s="83">
        <v>47</v>
      </c>
      <c r="CG21" s="83">
        <v>47</v>
      </c>
      <c r="CH21" s="83">
        <v>47</v>
      </c>
      <c r="CI21" s="83">
        <v>47</v>
      </c>
      <c r="CJ21" s="83">
        <v>47</v>
      </c>
      <c r="CK21" s="83">
        <v>47</v>
      </c>
      <c r="CL21" s="83">
        <v>47</v>
      </c>
      <c r="CM21" s="83">
        <v>47</v>
      </c>
      <c r="CN21" s="83">
        <v>47</v>
      </c>
      <c r="CO21" s="83">
        <v>47</v>
      </c>
      <c r="CP21" s="83">
        <v>47</v>
      </c>
      <c r="CQ21" s="83">
        <v>47</v>
      </c>
      <c r="CR21" s="83">
        <v>47</v>
      </c>
      <c r="CS21" s="83">
        <v>47</v>
      </c>
      <c r="CT21" s="84"/>
      <c r="CU21" s="84"/>
      <c r="CV21" s="84"/>
      <c r="CW21" s="85"/>
      <c r="CX21" s="86">
        <f t="array" ref="CX21">SUMPRODUCT(B21:CW21*0.25)</f>
        <v>1128</v>
      </c>
    </row>
    <row r="22" spans="1:102" ht="20.100000000000001" customHeight="1" x14ac:dyDescent="0.2">
      <c r="A22" s="81" t="s">
        <v>17</v>
      </c>
      <c r="B22" s="82">
        <v>8</v>
      </c>
      <c r="C22" s="83">
        <v>8</v>
      </c>
      <c r="D22" s="83">
        <v>8</v>
      </c>
      <c r="E22" s="83">
        <v>8</v>
      </c>
      <c r="F22" s="83">
        <v>8</v>
      </c>
      <c r="G22" s="83">
        <v>8</v>
      </c>
      <c r="H22" s="83">
        <v>8</v>
      </c>
      <c r="I22" s="83">
        <v>8</v>
      </c>
      <c r="J22" s="83">
        <v>8</v>
      </c>
      <c r="K22" s="83">
        <v>8</v>
      </c>
      <c r="L22" s="83">
        <v>8</v>
      </c>
      <c r="M22" s="83">
        <v>8</v>
      </c>
      <c r="N22" s="83">
        <v>8</v>
      </c>
      <c r="O22" s="83">
        <v>8</v>
      </c>
      <c r="P22" s="83">
        <v>8</v>
      </c>
      <c r="Q22" s="83">
        <v>8</v>
      </c>
      <c r="R22" s="83">
        <v>8</v>
      </c>
      <c r="S22" s="83">
        <v>8</v>
      </c>
      <c r="T22" s="83">
        <v>8</v>
      </c>
      <c r="U22" s="83">
        <v>8</v>
      </c>
      <c r="V22" s="83">
        <v>8</v>
      </c>
      <c r="W22" s="83">
        <v>8</v>
      </c>
      <c r="X22" s="83">
        <v>8</v>
      </c>
      <c r="Y22" s="83">
        <v>8</v>
      </c>
      <c r="Z22" s="83">
        <v>8</v>
      </c>
      <c r="AA22" s="83">
        <v>8</v>
      </c>
      <c r="AB22" s="83">
        <v>8</v>
      </c>
      <c r="AC22" s="83">
        <v>8</v>
      </c>
      <c r="AD22" s="83">
        <v>8</v>
      </c>
      <c r="AE22" s="83">
        <v>8</v>
      </c>
      <c r="AF22" s="83">
        <v>8</v>
      </c>
      <c r="AG22" s="83">
        <v>8</v>
      </c>
      <c r="AH22" s="83">
        <v>8</v>
      </c>
      <c r="AI22" s="83">
        <v>8</v>
      </c>
      <c r="AJ22" s="83">
        <v>8</v>
      </c>
      <c r="AK22" s="83">
        <v>8</v>
      </c>
      <c r="AL22" s="83">
        <v>8</v>
      </c>
      <c r="AM22" s="83">
        <v>8</v>
      </c>
      <c r="AN22" s="83">
        <v>8</v>
      </c>
      <c r="AO22" s="83">
        <v>8</v>
      </c>
      <c r="AP22" s="83">
        <v>8</v>
      </c>
      <c r="AQ22" s="83">
        <v>8</v>
      </c>
      <c r="AR22" s="83">
        <v>8</v>
      </c>
      <c r="AS22" s="83">
        <v>8</v>
      </c>
      <c r="AT22" s="83">
        <v>8</v>
      </c>
      <c r="AU22" s="83">
        <v>8</v>
      </c>
      <c r="AV22" s="83">
        <v>8</v>
      </c>
      <c r="AW22" s="83">
        <v>8</v>
      </c>
      <c r="AX22" s="83">
        <v>8</v>
      </c>
      <c r="AY22" s="83">
        <v>8</v>
      </c>
      <c r="AZ22" s="83">
        <v>8</v>
      </c>
      <c r="BA22" s="83">
        <v>8</v>
      </c>
      <c r="BB22" s="83">
        <v>8</v>
      </c>
      <c r="BC22" s="83">
        <v>8</v>
      </c>
      <c r="BD22" s="83">
        <v>8</v>
      </c>
      <c r="BE22" s="83">
        <v>8</v>
      </c>
      <c r="BF22" s="83">
        <v>8</v>
      </c>
      <c r="BG22" s="83">
        <v>8</v>
      </c>
      <c r="BH22" s="83">
        <v>8</v>
      </c>
      <c r="BI22" s="83">
        <v>8</v>
      </c>
      <c r="BJ22" s="83">
        <v>8</v>
      </c>
      <c r="BK22" s="83">
        <v>8</v>
      </c>
      <c r="BL22" s="83">
        <v>8</v>
      </c>
      <c r="BM22" s="83">
        <v>8</v>
      </c>
      <c r="BN22" s="83">
        <v>8</v>
      </c>
      <c r="BO22" s="83">
        <v>8</v>
      </c>
      <c r="BP22" s="83">
        <v>8</v>
      </c>
      <c r="BQ22" s="83">
        <v>8</v>
      </c>
      <c r="BR22" s="83">
        <v>8</v>
      </c>
      <c r="BS22" s="83">
        <v>8</v>
      </c>
      <c r="BT22" s="83">
        <v>8</v>
      </c>
      <c r="BU22" s="83">
        <v>8</v>
      </c>
      <c r="BV22" s="83">
        <v>8</v>
      </c>
      <c r="BW22" s="83">
        <v>8</v>
      </c>
      <c r="BX22" s="83">
        <v>8</v>
      </c>
      <c r="BY22" s="83">
        <v>8</v>
      </c>
      <c r="BZ22" s="83">
        <v>8</v>
      </c>
      <c r="CA22" s="83">
        <v>8</v>
      </c>
      <c r="CB22" s="83">
        <v>8</v>
      </c>
      <c r="CC22" s="83">
        <v>8</v>
      </c>
      <c r="CD22" s="83">
        <v>8</v>
      </c>
      <c r="CE22" s="83">
        <v>8</v>
      </c>
      <c r="CF22" s="83">
        <v>8</v>
      </c>
      <c r="CG22" s="83">
        <v>8</v>
      </c>
      <c r="CH22" s="83">
        <v>8</v>
      </c>
      <c r="CI22" s="83">
        <v>8</v>
      </c>
      <c r="CJ22" s="83">
        <v>8</v>
      </c>
      <c r="CK22" s="83">
        <v>8</v>
      </c>
      <c r="CL22" s="83">
        <v>8</v>
      </c>
      <c r="CM22" s="83">
        <v>8</v>
      </c>
      <c r="CN22" s="83">
        <v>8</v>
      </c>
      <c r="CO22" s="83">
        <v>8</v>
      </c>
      <c r="CP22" s="83">
        <v>8</v>
      </c>
      <c r="CQ22" s="83">
        <v>8</v>
      </c>
      <c r="CR22" s="83">
        <v>8</v>
      </c>
      <c r="CS22" s="83">
        <v>8</v>
      </c>
      <c r="CT22" s="84"/>
      <c r="CU22" s="84"/>
      <c r="CV22" s="84"/>
      <c r="CW22" s="85"/>
      <c r="CX22" s="86">
        <f t="array" ref="CX22">SUMPRODUCT(B22:CW22*0.25)</f>
        <v>192</v>
      </c>
    </row>
    <row r="23" spans="1:102" ht="20.100000000000001" customHeight="1" x14ac:dyDescent="0.2">
      <c r="A23" s="81" t="s">
        <v>18</v>
      </c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4"/>
      <c r="CU23" s="84"/>
      <c r="CV23" s="84"/>
      <c r="CW23" s="85"/>
      <c r="CX23" s="86">
        <f t="array" ref="CX23">SUMPRODUCT(B23:CW23*0.25)</f>
        <v>0</v>
      </c>
    </row>
    <row r="24" spans="1:102" ht="20.100000000000001" customHeight="1" x14ac:dyDescent="0.2">
      <c r="A24" s="81" t="s">
        <v>19</v>
      </c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4"/>
      <c r="CU24" s="84"/>
      <c r="CV24" s="84"/>
      <c r="CW24" s="85"/>
      <c r="CX24" s="86">
        <f t="array" ref="CX24">SUMPRODUCT(B24:CW24*0.25)</f>
        <v>0</v>
      </c>
    </row>
    <row r="25" spans="1:102" ht="20.100000000000001" customHeight="1" x14ac:dyDescent="0.2">
      <c r="A25" s="87" t="s">
        <v>11</v>
      </c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90"/>
      <c r="CU25" s="90"/>
      <c r="CV25" s="90"/>
      <c r="CW25" s="91"/>
      <c r="CX25" s="92">
        <f t="array" ref="CX25">SUMPRODUCT(B25:CW25*0.25)</f>
        <v>0</v>
      </c>
    </row>
    <row r="26" spans="1:102" ht="20.100000000000001" customHeight="1" thickBot="1" x14ac:dyDescent="0.25">
      <c r="A26" s="93" t="s">
        <v>12</v>
      </c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6"/>
      <c r="CU26" s="96"/>
      <c r="CV26" s="96"/>
      <c r="CW26" s="97"/>
      <c r="CX26" s="98">
        <f t="array" ref="CX26">SUMPRODUCT(B26:CW26*0.25)</f>
        <v>0</v>
      </c>
    </row>
    <row r="27" spans="1:102" ht="30" customHeight="1" thickBot="1" x14ac:dyDescent="0.25">
      <c r="A27" s="65" t="s">
        <v>20</v>
      </c>
      <c r="B27" s="66">
        <f>SUM(B20:B26)</f>
        <v>84</v>
      </c>
      <c r="C27" s="67">
        <f t="shared" ref="C27:BN27" si="6">SUM(C20:C26)</f>
        <v>84</v>
      </c>
      <c r="D27" s="67">
        <f t="shared" si="6"/>
        <v>84</v>
      </c>
      <c r="E27" s="67">
        <f t="shared" si="6"/>
        <v>84</v>
      </c>
      <c r="F27" s="67">
        <f t="shared" si="6"/>
        <v>84</v>
      </c>
      <c r="G27" s="67">
        <f t="shared" si="6"/>
        <v>84</v>
      </c>
      <c r="H27" s="67">
        <f t="shared" si="6"/>
        <v>84</v>
      </c>
      <c r="I27" s="67">
        <f t="shared" si="6"/>
        <v>84</v>
      </c>
      <c r="J27" s="67">
        <f t="shared" si="6"/>
        <v>84</v>
      </c>
      <c r="K27" s="67">
        <f t="shared" si="6"/>
        <v>84</v>
      </c>
      <c r="L27" s="67">
        <f t="shared" si="6"/>
        <v>84</v>
      </c>
      <c r="M27" s="67">
        <f t="shared" si="6"/>
        <v>84</v>
      </c>
      <c r="N27" s="67">
        <f t="shared" si="6"/>
        <v>84</v>
      </c>
      <c r="O27" s="67">
        <f t="shared" si="6"/>
        <v>84</v>
      </c>
      <c r="P27" s="67">
        <f t="shared" si="6"/>
        <v>84</v>
      </c>
      <c r="Q27" s="67">
        <f t="shared" si="6"/>
        <v>84</v>
      </c>
      <c r="R27" s="67">
        <f t="shared" si="6"/>
        <v>84</v>
      </c>
      <c r="S27" s="67">
        <f t="shared" si="6"/>
        <v>84</v>
      </c>
      <c r="T27" s="67">
        <f t="shared" si="6"/>
        <v>84</v>
      </c>
      <c r="U27" s="67">
        <f t="shared" si="6"/>
        <v>84</v>
      </c>
      <c r="V27" s="67">
        <f t="shared" si="6"/>
        <v>84</v>
      </c>
      <c r="W27" s="67">
        <f t="shared" si="6"/>
        <v>84</v>
      </c>
      <c r="X27" s="67">
        <f t="shared" si="6"/>
        <v>84</v>
      </c>
      <c r="Y27" s="67">
        <f t="shared" si="6"/>
        <v>84</v>
      </c>
      <c r="Z27" s="67">
        <f t="shared" si="6"/>
        <v>84</v>
      </c>
      <c r="AA27" s="67">
        <f t="shared" si="6"/>
        <v>84</v>
      </c>
      <c r="AB27" s="67">
        <f t="shared" si="6"/>
        <v>84</v>
      </c>
      <c r="AC27" s="67">
        <f t="shared" si="6"/>
        <v>84</v>
      </c>
      <c r="AD27" s="67">
        <f t="shared" si="6"/>
        <v>87</v>
      </c>
      <c r="AE27" s="67">
        <f t="shared" si="6"/>
        <v>87</v>
      </c>
      <c r="AF27" s="67">
        <f t="shared" si="6"/>
        <v>87</v>
      </c>
      <c r="AG27" s="67">
        <f t="shared" si="6"/>
        <v>87</v>
      </c>
      <c r="AH27" s="67">
        <f t="shared" si="6"/>
        <v>99</v>
      </c>
      <c r="AI27" s="67">
        <f t="shared" si="6"/>
        <v>99</v>
      </c>
      <c r="AJ27" s="67">
        <f t="shared" si="6"/>
        <v>99</v>
      </c>
      <c r="AK27" s="67">
        <f t="shared" si="6"/>
        <v>99</v>
      </c>
      <c r="AL27" s="67">
        <f t="shared" si="6"/>
        <v>129</v>
      </c>
      <c r="AM27" s="67">
        <f t="shared" si="6"/>
        <v>129</v>
      </c>
      <c r="AN27" s="67">
        <f t="shared" si="6"/>
        <v>129</v>
      </c>
      <c r="AO27" s="67">
        <f t="shared" si="6"/>
        <v>129</v>
      </c>
      <c r="AP27" s="67">
        <f t="shared" si="6"/>
        <v>129</v>
      </c>
      <c r="AQ27" s="67">
        <f t="shared" si="6"/>
        <v>129</v>
      </c>
      <c r="AR27" s="67">
        <f t="shared" si="6"/>
        <v>129</v>
      </c>
      <c r="AS27" s="67">
        <f t="shared" si="6"/>
        <v>129</v>
      </c>
      <c r="AT27" s="67">
        <f t="shared" si="6"/>
        <v>129</v>
      </c>
      <c r="AU27" s="67">
        <f t="shared" si="6"/>
        <v>129</v>
      </c>
      <c r="AV27" s="67">
        <f t="shared" si="6"/>
        <v>129</v>
      </c>
      <c r="AW27" s="67">
        <f t="shared" si="6"/>
        <v>129</v>
      </c>
      <c r="AX27" s="67">
        <f t="shared" si="6"/>
        <v>129</v>
      </c>
      <c r="AY27" s="67">
        <f t="shared" si="6"/>
        <v>129</v>
      </c>
      <c r="AZ27" s="67">
        <f t="shared" si="6"/>
        <v>129</v>
      </c>
      <c r="BA27" s="67">
        <f t="shared" si="6"/>
        <v>129</v>
      </c>
      <c r="BB27" s="67">
        <f t="shared" si="6"/>
        <v>124</v>
      </c>
      <c r="BC27" s="67">
        <f t="shared" si="6"/>
        <v>124</v>
      </c>
      <c r="BD27" s="67">
        <f t="shared" si="6"/>
        <v>124</v>
      </c>
      <c r="BE27" s="67">
        <f t="shared" si="6"/>
        <v>124</v>
      </c>
      <c r="BF27" s="67">
        <f t="shared" si="6"/>
        <v>124</v>
      </c>
      <c r="BG27" s="67">
        <f t="shared" si="6"/>
        <v>124</v>
      </c>
      <c r="BH27" s="67">
        <f t="shared" si="6"/>
        <v>124</v>
      </c>
      <c r="BI27" s="67">
        <f t="shared" si="6"/>
        <v>124</v>
      </c>
      <c r="BJ27" s="67">
        <f t="shared" si="6"/>
        <v>101</v>
      </c>
      <c r="BK27" s="67">
        <f t="shared" si="6"/>
        <v>101</v>
      </c>
      <c r="BL27" s="67">
        <f t="shared" si="6"/>
        <v>101</v>
      </c>
      <c r="BM27" s="67">
        <f t="shared" si="6"/>
        <v>101</v>
      </c>
      <c r="BN27" s="67">
        <f t="shared" si="6"/>
        <v>96</v>
      </c>
      <c r="BO27" s="67">
        <f t="shared" ref="BO27:CW27" si="7">SUM(BO20:BO26)</f>
        <v>96</v>
      </c>
      <c r="BP27" s="67">
        <f t="shared" si="7"/>
        <v>96</v>
      </c>
      <c r="BQ27" s="67">
        <f t="shared" si="7"/>
        <v>96</v>
      </c>
      <c r="BR27" s="67">
        <f t="shared" si="7"/>
        <v>84</v>
      </c>
      <c r="BS27" s="67">
        <f t="shared" si="7"/>
        <v>84</v>
      </c>
      <c r="BT27" s="67">
        <f t="shared" si="7"/>
        <v>84</v>
      </c>
      <c r="BU27" s="67">
        <f t="shared" si="7"/>
        <v>84</v>
      </c>
      <c r="BV27" s="67">
        <f t="shared" si="7"/>
        <v>84</v>
      </c>
      <c r="BW27" s="67">
        <f t="shared" si="7"/>
        <v>84</v>
      </c>
      <c r="BX27" s="67">
        <f t="shared" si="7"/>
        <v>84</v>
      </c>
      <c r="BY27" s="67">
        <f t="shared" si="7"/>
        <v>84</v>
      </c>
      <c r="BZ27" s="67">
        <f t="shared" si="7"/>
        <v>84</v>
      </c>
      <c r="CA27" s="67">
        <f t="shared" si="7"/>
        <v>84</v>
      </c>
      <c r="CB27" s="67">
        <f t="shared" si="7"/>
        <v>84</v>
      </c>
      <c r="CC27" s="67">
        <f t="shared" si="7"/>
        <v>84</v>
      </c>
      <c r="CD27" s="67">
        <f t="shared" si="7"/>
        <v>84</v>
      </c>
      <c r="CE27" s="67">
        <f t="shared" si="7"/>
        <v>84</v>
      </c>
      <c r="CF27" s="67">
        <f t="shared" si="7"/>
        <v>84</v>
      </c>
      <c r="CG27" s="67">
        <f t="shared" si="7"/>
        <v>84</v>
      </c>
      <c r="CH27" s="67">
        <f t="shared" si="7"/>
        <v>84</v>
      </c>
      <c r="CI27" s="67">
        <f t="shared" si="7"/>
        <v>84</v>
      </c>
      <c r="CJ27" s="67">
        <f t="shared" si="7"/>
        <v>84</v>
      </c>
      <c r="CK27" s="67">
        <f t="shared" si="7"/>
        <v>84</v>
      </c>
      <c r="CL27" s="67">
        <f t="shared" si="7"/>
        <v>84</v>
      </c>
      <c r="CM27" s="67">
        <f t="shared" si="7"/>
        <v>84</v>
      </c>
      <c r="CN27" s="67">
        <f t="shared" si="7"/>
        <v>84</v>
      </c>
      <c r="CO27" s="67">
        <f t="shared" si="7"/>
        <v>84</v>
      </c>
      <c r="CP27" s="67">
        <f t="shared" si="7"/>
        <v>84</v>
      </c>
      <c r="CQ27" s="67">
        <f t="shared" si="7"/>
        <v>84</v>
      </c>
      <c r="CR27" s="67">
        <f t="shared" si="7"/>
        <v>84</v>
      </c>
      <c r="CS27" s="67">
        <f t="shared" si="7"/>
        <v>84</v>
      </c>
      <c r="CT27" s="68">
        <f t="shared" si="7"/>
        <v>0</v>
      </c>
      <c r="CU27" s="68">
        <f t="shared" si="7"/>
        <v>0</v>
      </c>
      <c r="CV27" s="68">
        <f t="shared" si="7"/>
        <v>0</v>
      </c>
      <c r="CW27" s="69">
        <f t="shared" si="7"/>
        <v>0</v>
      </c>
      <c r="CX27" s="70">
        <f>SUM(CX20:CX26)</f>
        <v>2323</v>
      </c>
    </row>
    <row r="28" spans="1:102" ht="18" customHeight="1" thickBot="1" x14ac:dyDescent="0.25">
      <c r="A28" s="71"/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4"/>
    </row>
    <row r="29" spans="1:102" ht="30" customHeight="1" thickBot="1" x14ac:dyDescent="0.25">
      <c r="A29" s="37" t="s">
        <v>21</v>
      </c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40"/>
      <c r="CX29" s="18" t="s">
        <v>2</v>
      </c>
    </row>
    <row r="30" spans="1:102" ht="20.100000000000001" customHeight="1" x14ac:dyDescent="0.2">
      <c r="A30" s="75" t="s">
        <v>22</v>
      </c>
      <c r="B30" s="99">
        <v>4</v>
      </c>
      <c r="C30" s="100">
        <v>4</v>
      </c>
      <c r="D30" s="100">
        <v>4</v>
      </c>
      <c r="E30" s="100">
        <v>4</v>
      </c>
      <c r="F30" s="100">
        <v>4</v>
      </c>
      <c r="G30" s="100">
        <v>4</v>
      </c>
      <c r="H30" s="100">
        <v>4</v>
      </c>
      <c r="I30" s="100">
        <v>4</v>
      </c>
      <c r="J30" s="100">
        <v>4</v>
      </c>
      <c r="K30" s="100">
        <v>4</v>
      </c>
      <c r="L30" s="100">
        <v>4</v>
      </c>
      <c r="M30" s="100">
        <v>4</v>
      </c>
      <c r="N30" s="100">
        <v>4</v>
      </c>
      <c r="O30" s="100">
        <v>4</v>
      </c>
      <c r="P30" s="100">
        <v>4</v>
      </c>
      <c r="Q30" s="100">
        <v>4</v>
      </c>
      <c r="R30" s="100">
        <v>4</v>
      </c>
      <c r="S30" s="100">
        <v>4</v>
      </c>
      <c r="T30" s="100">
        <v>4</v>
      </c>
      <c r="U30" s="100">
        <v>4</v>
      </c>
      <c r="V30" s="100">
        <v>4</v>
      </c>
      <c r="W30" s="100">
        <v>4</v>
      </c>
      <c r="X30" s="100">
        <v>4</v>
      </c>
      <c r="Y30" s="100">
        <v>4</v>
      </c>
      <c r="Z30" s="100">
        <v>4</v>
      </c>
      <c r="AA30" s="100">
        <v>4</v>
      </c>
      <c r="AB30" s="100">
        <v>4</v>
      </c>
      <c r="AC30" s="100">
        <v>4</v>
      </c>
      <c r="AD30" s="100">
        <v>4</v>
      </c>
      <c r="AE30" s="100">
        <v>4</v>
      </c>
      <c r="AF30" s="100">
        <v>4</v>
      </c>
      <c r="AG30" s="100">
        <v>4</v>
      </c>
      <c r="AH30" s="100">
        <v>4</v>
      </c>
      <c r="AI30" s="100">
        <v>4</v>
      </c>
      <c r="AJ30" s="100">
        <v>4</v>
      </c>
      <c r="AK30" s="100">
        <v>4</v>
      </c>
      <c r="AL30" s="100">
        <v>8</v>
      </c>
      <c r="AM30" s="100">
        <v>8</v>
      </c>
      <c r="AN30" s="100">
        <v>8</v>
      </c>
      <c r="AO30" s="100">
        <v>8</v>
      </c>
      <c r="AP30" s="100">
        <v>8</v>
      </c>
      <c r="AQ30" s="100">
        <v>8</v>
      </c>
      <c r="AR30" s="100">
        <v>8</v>
      </c>
      <c r="AS30" s="100">
        <v>8</v>
      </c>
      <c r="AT30" s="100">
        <v>8</v>
      </c>
      <c r="AU30" s="100">
        <v>8</v>
      </c>
      <c r="AV30" s="100">
        <v>8</v>
      </c>
      <c r="AW30" s="100">
        <v>8</v>
      </c>
      <c r="AX30" s="100">
        <v>8</v>
      </c>
      <c r="AY30" s="100">
        <v>8</v>
      </c>
      <c r="AZ30" s="100">
        <v>8</v>
      </c>
      <c r="BA30" s="100">
        <v>8</v>
      </c>
      <c r="BB30" s="100">
        <v>8</v>
      </c>
      <c r="BC30" s="100">
        <v>8</v>
      </c>
      <c r="BD30" s="100">
        <v>8</v>
      </c>
      <c r="BE30" s="100">
        <v>8</v>
      </c>
      <c r="BF30" s="100">
        <v>8</v>
      </c>
      <c r="BG30" s="100">
        <v>8</v>
      </c>
      <c r="BH30" s="100">
        <v>8</v>
      </c>
      <c r="BI30" s="100">
        <v>8</v>
      </c>
      <c r="BJ30" s="100">
        <v>8</v>
      </c>
      <c r="BK30" s="100">
        <v>8</v>
      </c>
      <c r="BL30" s="100">
        <v>8</v>
      </c>
      <c r="BM30" s="100">
        <v>8</v>
      </c>
      <c r="BN30" s="100">
        <v>8</v>
      </c>
      <c r="BO30" s="100">
        <v>8</v>
      </c>
      <c r="BP30" s="100">
        <v>8</v>
      </c>
      <c r="BQ30" s="100">
        <v>8</v>
      </c>
      <c r="BR30" s="100">
        <v>8</v>
      </c>
      <c r="BS30" s="100">
        <v>8</v>
      </c>
      <c r="BT30" s="100">
        <v>8</v>
      </c>
      <c r="BU30" s="100">
        <v>8</v>
      </c>
      <c r="BV30" s="100">
        <v>12</v>
      </c>
      <c r="BW30" s="100">
        <v>12</v>
      </c>
      <c r="BX30" s="100">
        <v>12</v>
      </c>
      <c r="BY30" s="100">
        <v>12</v>
      </c>
      <c r="BZ30" s="100">
        <v>12</v>
      </c>
      <c r="CA30" s="100">
        <v>12</v>
      </c>
      <c r="CB30" s="100">
        <v>12</v>
      </c>
      <c r="CC30" s="100">
        <v>12</v>
      </c>
      <c r="CD30" s="100">
        <v>12</v>
      </c>
      <c r="CE30" s="100">
        <v>12</v>
      </c>
      <c r="CF30" s="100">
        <v>12</v>
      </c>
      <c r="CG30" s="100">
        <v>12</v>
      </c>
      <c r="CH30" s="100">
        <v>12</v>
      </c>
      <c r="CI30" s="100">
        <v>12</v>
      </c>
      <c r="CJ30" s="100">
        <v>12</v>
      </c>
      <c r="CK30" s="100">
        <v>12</v>
      </c>
      <c r="CL30" s="100">
        <v>12</v>
      </c>
      <c r="CM30" s="100">
        <v>12</v>
      </c>
      <c r="CN30" s="100">
        <v>12</v>
      </c>
      <c r="CO30" s="100">
        <v>12</v>
      </c>
      <c r="CP30" s="100">
        <v>4</v>
      </c>
      <c r="CQ30" s="100">
        <v>4</v>
      </c>
      <c r="CR30" s="100">
        <v>4</v>
      </c>
      <c r="CS30" s="100">
        <v>4</v>
      </c>
      <c r="CT30" s="101"/>
      <c r="CU30" s="101"/>
      <c r="CV30" s="101"/>
      <c r="CW30" s="102"/>
      <c r="CX30" s="80">
        <f t="array" ref="CX30">SUMPRODUCT(B30:CW30*0.25)</f>
        <v>172</v>
      </c>
    </row>
    <row r="31" spans="1:102" ht="20.100000000000001" customHeight="1" x14ac:dyDescent="0.2">
      <c r="A31" s="103" t="s">
        <v>23</v>
      </c>
      <c r="B31" s="104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6"/>
      <c r="CU31" s="106"/>
      <c r="CV31" s="106"/>
      <c r="CW31" s="107"/>
      <c r="CX31" s="86">
        <f t="array" ref="CX31">SUMPRODUCT(B31:CW31*0.25)</f>
        <v>0</v>
      </c>
    </row>
    <row r="32" spans="1:102" ht="20.100000000000001" customHeight="1" x14ac:dyDescent="0.2">
      <c r="A32" s="103" t="s">
        <v>24</v>
      </c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6"/>
      <c r="CU32" s="106"/>
      <c r="CV32" s="106"/>
      <c r="CW32" s="107"/>
      <c r="CX32" s="86">
        <f t="array" ref="CX32">SUMPRODUCT(B32:CW32*0.25)</f>
        <v>0</v>
      </c>
    </row>
    <row r="33" spans="1:102" ht="20.100000000000001" customHeight="1" x14ac:dyDescent="0.2">
      <c r="A33" s="103" t="s">
        <v>25</v>
      </c>
      <c r="B33" s="104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05">
        <v>10</v>
      </c>
      <c r="AH33" s="105">
        <v>10</v>
      </c>
      <c r="AI33" s="105">
        <v>10</v>
      </c>
      <c r="AJ33" s="105">
        <v>10</v>
      </c>
      <c r="AK33" s="105">
        <v>10</v>
      </c>
      <c r="AL33" s="105">
        <v>5</v>
      </c>
      <c r="AM33" s="105">
        <v>5</v>
      </c>
      <c r="AN33" s="105">
        <v>5</v>
      </c>
      <c r="AO33" s="105">
        <v>5</v>
      </c>
      <c r="AP33" s="105">
        <v>5</v>
      </c>
      <c r="AQ33" s="105">
        <v>5</v>
      </c>
      <c r="AR33" s="105">
        <v>5</v>
      </c>
      <c r="AS33" s="105">
        <v>5</v>
      </c>
      <c r="AT33" s="105">
        <v>5</v>
      </c>
      <c r="AU33" s="105">
        <v>5</v>
      </c>
      <c r="AV33" s="105">
        <v>5</v>
      </c>
      <c r="AW33" s="105">
        <v>5</v>
      </c>
      <c r="AX33" s="105">
        <v>5</v>
      </c>
      <c r="AY33" s="105">
        <v>5</v>
      </c>
      <c r="AZ33" s="105">
        <v>5</v>
      </c>
      <c r="BA33" s="105">
        <v>5</v>
      </c>
      <c r="BB33" s="105">
        <v>5</v>
      </c>
      <c r="BC33" s="105">
        <v>5</v>
      </c>
      <c r="BD33" s="105">
        <v>5</v>
      </c>
      <c r="BE33" s="105">
        <v>5</v>
      </c>
      <c r="BF33" s="105">
        <v>5</v>
      </c>
      <c r="BG33" s="105">
        <v>5</v>
      </c>
      <c r="BH33" s="105">
        <v>5</v>
      </c>
      <c r="BI33" s="105">
        <v>5</v>
      </c>
      <c r="BJ33" s="105">
        <v>5</v>
      </c>
      <c r="BK33" s="105">
        <v>5</v>
      </c>
      <c r="BL33" s="105">
        <v>5</v>
      </c>
      <c r="BM33" s="105">
        <v>5</v>
      </c>
      <c r="BN33" s="105">
        <v>10</v>
      </c>
      <c r="BO33" s="105">
        <v>10</v>
      </c>
      <c r="BP33" s="105">
        <v>10</v>
      </c>
      <c r="BQ33" s="105">
        <v>10</v>
      </c>
      <c r="BR33" s="105">
        <v>10</v>
      </c>
      <c r="BS33" s="105">
        <v>10</v>
      </c>
      <c r="BT33" s="105">
        <v>10</v>
      </c>
      <c r="BU33" s="105">
        <v>10</v>
      </c>
      <c r="BV33" s="105">
        <v>10</v>
      </c>
      <c r="BW33" s="105">
        <v>10</v>
      </c>
      <c r="BX33" s="105">
        <v>10</v>
      </c>
      <c r="BY33" s="105">
        <v>10</v>
      </c>
      <c r="BZ33" s="105">
        <v>10</v>
      </c>
      <c r="CA33" s="105">
        <v>10</v>
      </c>
      <c r="CB33" s="105">
        <v>10</v>
      </c>
      <c r="CC33" s="105">
        <v>10</v>
      </c>
      <c r="CD33" s="105">
        <v>10</v>
      </c>
      <c r="CE33" s="105">
        <v>10</v>
      </c>
      <c r="CF33" s="105">
        <v>10</v>
      </c>
      <c r="CG33" s="105">
        <v>10</v>
      </c>
      <c r="CH33" s="105">
        <v>10</v>
      </c>
      <c r="CI33" s="105">
        <v>10</v>
      </c>
      <c r="CJ33" s="105">
        <v>10</v>
      </c>
      <c r="CK33" s="105">
        <v>10</v>
      </c>
      <c r="CL33" s="105">
        <v>10</v>
      </c>
      <c r="CM33" s="105">
        <v>10</v>
      </c>
      <c r="CN33" s="105">
        <v>10</v>
      </c>
      <c r="CO33" s="105">
        <v>10</v>
      </c>
      <c r="CP33" s="105">
        <v>10</v>
      </c>
      <c r="CQ33" s="105">
        <v>10</v>
      </c>
      <c r="CR33" s="105">
        <v>10</v>
      </c>
      <c r="CS33" s="105">
        <v>10</v>
      </c>
      <c r="CT33" s="106"/>
      <c r="CU33" s="106"/>
      <c r="CV33" s="106"/>
      <c r="CW33" s="107"/>
      <c r="CX33" s="86">
        <f t="array" ref="CX33">SUMPRODUCT(B33:CW33*0.25)</f>
        <v>205</v>
      </c>
    </row>
    <row r="34" spans="1:102" ht="20.100000000000001" customHeight="1" thickBot="1" x14ac:dyDescent="0.25">
      <c r="A34" s="108" t="s">
        <v>26</v>
      </c>
      <c r="B34" s="109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1"/>
      <c r="CU34" s="111"/>
      <c r="CV34" s="111"/>
      <c r="CW34" s="112"/>
      <c r="CX34" s="98">
        <f t="array" ref="CX34">SUMPRODUCT(B34:CW34*0.25)</f>
        <v>0</v>
      </c>
    </row>
    <row r="35" spans="1:102" ht="30" customHeight="1" thickBot="1" x14ac:dyDescent="0.25">
      <c r="A35" s="65" t="s">
        <v>27</v>
      </c>
      <c r="B35" s="66">
        <f>SUM(B30:B34)</f>
        <v>14</v>
      </c>
      <c r="C35" s="67">
        <f t="shared" ref="C35:BN35" si="8">SUM(C30:C34)</f>
        <v>14</v>
      </c>
      <c r="D35" s="67">
        <f t="shared" si="8"/>
        <v>14</v>
      </c>
      <c r="E35" s="67">
        <f t="shared" si="8"/>
        <v>14</v>
      </c>
      <c r="F35" s="67">
        <f t="shared" si="8"/>
        <v>14</v>
      </c>
      <c r="G35" s="67">
        <f t="shared" si="8"/>
        <v>14</v>
      </c>
      <c r="H35" s="67">
        <f t="shared" si="8"/>
        <v>14</v>
      </c>
      <c r="I35" s="67">
        <f t="shared" si="8"/>
        <v>14</v>
      </c>
      <c r="J35" s="67">
        <f t="shared" si="8"/>
        <v>14</v>
      </c>
      <c r="K35" s="67">
        <f t="shared" si="8"/>
        <v>14</v>
      </c>
      <c r="L35" s="67">
        <f t="shared" si="8"/>
        <v>14</v>
      </c>
      <c r="M35" s="67">
        <f t="shared" si="8"/>
        <v>14</v>
      </c>
      <c r="N35" s="67">
        <f t="shared" si="8"/>
        <v>14</v>
      </c>
      <c r="O35" s="67">
        <f t="shared" si="8"/>
        <v>14</v>
      </c>
      <c r="P35" s="67">
        <f t="shared" si="8"/>
        <v>14</v>
      </c>
      <c r="Q35" s="67">
        <f t="shared" si="8"/>
        <v>14</v>
      </c>
      <c r="R35" s="67">
        <f t="shared" si="8"/>
        <v>14</v>
      </c>
      <c r="S35" s="67">
        <f t="shared" si="8"/>
        <v>14</v>
      </c>
      <c r="T35" s="67">
        <f t="shared" si="8"/>
        <v>14</v>
      </c>
      <c r="U35" s="67">
        <f t="shared" si="8"/>
        <v>14</v>
      </c>
      <c r="V35" s="67">
        <f t="shared" si="8"/>
        <v>14</v>
      </c>
      <c r="W35" s="67">
        <f t="shared" si="8"/>
        <v>14</v>
      </c>
      <c r="X35" s="67">
        <f t="shared" si="8"/>
        <v>14</v>
      </c>
      <c r="Y35" s="67">
        <f t="shared" si="8"/>
        <v>14</v>
      </c>
      <c r="Z35" s="67">
        <f t="shared" si="8"/>
        <v>14</v>
      </c>
      <c r="AA35" s="67">
        <f t="shared" si="8"/>
        <v>14</v>
      </c>
      <c r="AB35" s="67">
        <f t="shared" si="8"/>
        <v>14</v>
      </c>
      <c r="AC35" s="67">
        <f t="shared" si="8"/>
        <v>14</v>
      </c>
      <c r="AD35" s="67">
        <f t="shared" si="8"/>
        <v>14</v>
      </c>
      <c r="AE35" s="67">
        <f t="shared" si="8"/>
        <v>14</v>
      </c>
      <c r="AF35" s="67">
        <f t="shared" si="8"/>
        <v>14</v>
      </c>
      <c r="AG35" s="67">
        <f t="shared" si="8"/>
        <v>14</v>
      </c>
      <c r="AH35" s="67">
        <f t="shared" si="8"/>
        <v>14</v>
      </c>
      <c r="AI35" s="67">
        <f t="shared" si="8"/>
        <v>14</v>
      </c>
      <c r="AJ35" s="67">
        <f t="shared" si="8"/>
        <v>14</v>
      </c>
      <c r="AK35" s="67">
        <f t="shared" si="8"/>
        <v>14</v>
      </c>
      <c r="AL35" s="67">
        <f t="shared" si="8"/>
        <v>13</v>
      </c>
      <c r="AM35" s="67">
        <f t="shared" si="8"/>
        <v>13</v>
      </c>
      <c r="AN35" s="67">
        <f t="shared" si="8"/>
        <v>13</v>
      </c>
      <c r="AO35" s="67">
        <f t="shared" si="8"/>
        <v>13</v>
      </c>
      <c r="AP35" s="67">
        <f t="shared" si="8"/>
        <v>13</v>
      </c>
      <c r="AQ35" s="67">
        <f t="shared" si="8"/>
        <v>13</v>
      </c>
      <c r="AR35" s="67">
        <f t="shared" si="8"/>
        <v>13</v>
      </c>
      <c r="AS35" s="67">
        <f t="shared" si="8"/>
        <v>13</v>
      </c>
      <c r="AT35" s="67">
        <f t="shared" si="8"/>
        <v>13</v>
      </c>
      <c r="AU35" s="67">
        <f t="shared" si="8"/>
        <v>13</v>
      </c>
      <c r="AV35" s="67">
        <f t="shared" si="8"/>
        <v>13</v>
      </c>
      <c r="AW35" s="67">
        <f t="shared" si="8"/>
        <v>13</v>
      </c>
      <c r="AX35" s="67">
        <f t="shared" si="8"/>
        <v>13</v>
      </c>
      <c r="AY35" s="67">
        <f t="shared" si="8"/>
        <v>13</v>
      </c>
      <c r="AZ35" s="67">
        <f t="shared" si="8"/>
        <v>13</v>
      </c>
      <c r="BA35" s="67">
        <f t="shared" si="8"/>
        <v>13</v>
      </c>
      <c r="BB35" s="67">
        <f t="shared" si="8"/>
        <v>13</v>
      </c>
      <c r="BC35" s="67">
        <f t="shared" si="8"/>
        <v>13</v>
      </c>
      <c r="BD35" s="67">
        <f t="shared" si="8"/>
        <v>13</v>
      </c>
      <c r="BE35" s="67">
        <f t="shared" si="8"/>
        <v>13</v>
      </c>
      <c r="BF35" s="67">
        <f t="shared" si="8"/>
        <v>13</v>
      </c>
      <c r="BG35" s="67">
        <f t="shared" si="8"/>
        <v>13</v>
      </c>
      <c r="BH35" s="67">
        <f t="shared" si="8"/>
        <v>13</v>
      </c>
      <c r="BI35" s="67">
        <f t="shared" si="8"/>
        <v>13</v>
      </c>
      <c r="BJ35" s="67">
        <f t="shared" si="8"/>
        <v>13</v>
      </c>
      <c r="BK35" s="67">
        <f t="shared" si="8"/>
        <v>13</v>
      </c>
      <c r="BL35" s="67">
        <f t="shared" si="8"/>
        <v>13</v>
      </c>
      <c r="BM35" s="67">
        <f t="shared" si="8"/>
        <v>13</v>
      </c>
      <c r="BN35" s="67">
        <f t="shared" si="8"/>
        <v>18</v>
      </c>
      <c r="BO35" s="67">
        <f t="shared" ref="BO35:CW35" si="9">SUM(BO30:BO34)</f>
        <v>18</v>
      </c>
      <c r="BP35" s="67">
        <f t="shared" si="9"/>
        <v>18</v>
      </c>
      <c r="BQ35" s="67">
        <f t="shared" si="9"/>
        <v>18</v>
      </c>
      <c r="BR35" s="67">
        <f t="shared" si="9"/>
        <v>18</v>
      </c>
      <c r="BS35" s="67">
        <f t="shared" si="9"/>
        <v>18</v>
      </c>
      <c r="BT35" s="67">
        <f t="shared" si="9"/>
        <v>18</v>
      </c>
      <c r="BU35" s="67">
        <f t="shared" si="9"/>
        <v>18</v>
      </c>
      <c r="BV35" s="67">
        <f t="shared" si="9"/>
        <v>22</v>
      </c>
      <c r="BW35" s="67">
        <f t="shared" si="9"/>
        <v>22</v>
      </c>
      <c r="BX35" s="67">
        <f t="shared" si="9"/>
        <v>22</v>
      </c>
      <c r="BY35" s="67">
        <f t="shared" si="9"/>
        <v>22</v>
      </c>
      <c r="BZ35" s="67">
        <f t="shared" si="9"/>
        <v>22</v>
      </c>
      <c r="CA35" s="67">
        <f t="shared" si="9"/>
        <v>22</v>
      </c>
      <c r="CB35" s="67">
        <f t="shared" si="9"/>
        <v>22</v>
      </c>
      <c r="CC35" s="67">
        <f t="shared" si="9"/>
        <v>22</v>
      </c>
      <c r="CD35" s="67">
        <f t="shared" si="9"/>
        <v>22</v>
      </c>
      <c r="CE35" s="67">
        <f t="shared" si="9"/>
        <v>22</v>
      </c>
      <c r="CF35" s="67">
        <f t="shared" si="9"/>
        <v>22</v>
      </c>
      <c r="CG35" s="67">
        <f t="shared" si="9"/>
        <v>22</v>
      </c>
      <c r="CH35" s="67">
        <f t="shared" si="9"/>
        <v>22</v>
      </c>
      <c r="CI35" s="67">
        <f t="shared" si="9"/>
        <v>22</v>
      </c>
      <c r="CJ35" s="67">
        <f t="shared" si="9"/>
        <v>22</v>
      </c>
      <c r="CK35" s="67">
        <f t="shared" si="9"/>
        <v>22</v>
      </c>
      <c r="CL35" s="67">
        <f t="shared" si="9"/>
        <v>22</v>
      </c>
      <c r="CM35" s="67">
        <f t="shared" si="9"/>
        <v>22</v>
      </c>
      <c r="CN35" s="67">
        <f t="shared" si="9"/>
        <v>22</v>
      </c>
      <c r="CO35" s="67">
        <f t="shared" si="9"/>
        <v>22</v>
      </c>
      <c r="CP35" s="67">
        <f t="shared" si="9"/>
        <v>14</v>
      </c>
      <c r="CQ35" s="67">
        <f t="shared" si="9"/>
        <v>14</v>
      </c>
      <c r="CR35" s="67">
        <f t="shared" si="9"/>
        <v>14</v>
      </c>
      <c r="CS35" s="67">
        <f t="shared" si="9"/>
        <v>14</v>
      </c>
      <c r="CT35" s="68">
        <f t="shared" si="9"/>
        <v>0</v>
      </c>
      <c r="CU35" s="68">
        <f t="shared" si="9"/>
        <v>0</v>
      </c>
      <c r="CV35" s="68">
        <f t="shared" si="9"/>
        <v>0</v>
      </c>
      <c r="CW35" s="69">
        <f t="shared" si="9"/>
        <v>0</v>
      </c>
      <c r="CX35" s="70">
        <f>SUM(CX30:CX34)</f>
        <v>377</v>
      </c>
    </row>
    <row r="36" spans="1:102" ht="30" customHeight="1" thickBot="1" x14ac:dyDescent="0.25">
      <c r="A36" s="37" t="s">
        <v>28</v>
      </c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40"/>
      <c r="CX36" s="18" t="s">
        <v>2</v>
      </c>
    </row>
    <row r="37" spans="1:102" ht="20.100000000000001" customHeight="1" x14ac:dyDescent="0.2">
      <c r="A37" s="75" t="s">
        <v>29</v>
      </c>
      <c r="B37" s="99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1"/>
      <c r="CT37" s="101"/>
      <c r="CU37" s="101"/>
      <c r="CV37" s="101"/>
      <c r="CW37" s="102"/>
      <c r="CX37" s="80">
        <f t="array" ref="CX37">SUMPRODUCT(B37:CW37*0.25)</f>
        <v>0</v>
      </c>
    </row>
    <row r="38" spans="1:102" ht="20.100000000000001" customHeight="1" x14ac:dyDescent="0.2">
      <c r="A38" s="103" t="s">
        <v>30</v>
      </c>
      <c r="B38" s="104">
        <v>23</v>
      </c>
      <c r="C38" s="105">
        <v>23</v>
      </c>
      <c r="D38" s="105">
        <v>23</v>
      </c>
      <c r="E38" s="105">
        <v>23</v>
      </c>
      <c r="F38" s="105">
        <v>23</v>
      </c>
      <c r="G38" s="105">
        <v>23</v>
      </c>
      <c r="H38" s="105">
        <v>23</v>
      </c>
      <c r="I38" s="105">
        <v>23</v>
      </c>
      <c r="J38" s="105">
        <v>23</v>
      </c>
      <c r="K38" s="105">
        <v>23</v>
      </c>
      <c r="L38" s="105">
        <v>23</v>
      </c>
      <c r="M38" s="105">
        <v>23</v>
      </c>
      <c r="N38" s="105">
        <v>23</v>
      </c>
      <c r="O38" s="105">
        <v>23</v>
      </c>
      <c r="P38" s="105">
        <v>23</v>
      </c>
      <c r="Q38" s="105">
        <v>23</v>
      </c>
      <c r="R38" s="105">
        <v>23</v>
      </c>
      <c r="S38" s="105">
        <v>23</v>
      </c>
      <c r="T38" s="105">
        <v>23</v>
      </c>
      <c r="U38" s="105">
        <v>23</v>
      </c>
      <c r="V38" s="105">
        <v>23</v>
      </c>
      <c r="W38" s="105">
        <v>23</v>
      </c>
      <c r="X38" s="105">
        <v>23</v>
      </c>
      <c r="Y38" s="105">
        <v>23</v>
      </c>
      <c r="Z38" s="105">
        <v>23</v>
      </c>
      <c r="AA38" s="105">
        <v>23</v>
      </c>
      <c r="AB38" s="105">
        <v>23</v>
      </c>
      <c r="AC38" s="105">
        <v>23</v>
      </c>
      <c r="AD38" s="105">
        <v>23</v>
      </c>
      <c r="AE38" s="105">
        <v>23</v>
      </c>
      <c r="AF38" s="105">
        <v>23</v>
      </c>
      <c r="AG38" s="105">
        <v>23</v>
      </c>
      <c r="AH38" s="105">
        <v>23</v>
      </c>
      <c r="AI38" s="105">
        <v>23</v>
      </c>
      <c r="AJ38" s="105">
        <v>23</v>
      </c>
      <c r="AK38" s="105">
        <v>23</v>
      </c>
      <c r="AL38" s="105">
        <v>23</v>
      </c>
      <c r="AM38" s="105">
        <v>23</v>
      </c>
      <c r="AN38" s="105">
        <v>23</v>
      </c>
      <c r="AO38" s="105">
        <v>23</v>
      </c>
      <c r="AP38" s="105">
        <v>23</v>
      </c>
      <c r="AQ38" s="105">
        <v>23</v>
      </c>
      <c r="AR38" s="105">
        <v>23</v>
      </c>
      <c r="AS38" s="105">
        <v>23</v>
      </c>
      <c r="AT38" s="105">
        <v>23</v>
      </c>
      <c r="AU38" s="105">
        <v>23</v>
      </c>
      <c r="AV38" s="105">
        <v>23</v>
      </c>
      <c r="AW38" s="105">
        <v>23</v>
      </c>
      <c r="AX38" s="105">
        <v>23</v>
      </c>
      <c r="AY38" s="105">
        <v>23</v>
      </c>
      <c r="AZ38" s="105">
        <v>23</v>
      </c>
      <c r="BA38" s="105">
        <v>23</v>
      </c>
      <c r="BB38" s="105">
        <v>23</v>
      </c>
      <c r="BC38" s="105">
        <v>23</v>
      </c>
      <c r="BD38" s="105">
        <v>23</v>
      </c>
      <c r="BE38" s="105">
        <v>23</v>
      </c>
      <c r="BF38" s="105">
        <v>23</v>
      </c>
      <c r="BG38" s="105">
        <v>23</v>
      </c>
      <c r="BH38" s="105">
        <v>23</v>
      </c>
      <c r="BI38" s="105">
        <v>23</v>
      </c>
      <c r="BJ38" s="105">
        <v>23</v>
      </c>
      <c r="BK38" s="105">
        <v>23</v>
      </c>
      <c r="BL38" s="105">
        <v>23</v>
      </c>
      <c r="BM38" s="105">
        <v>23</v>
      </c>
      <c r="BN38" s="105">
        <v>23</v>
      </c>
      <c r="BO38" s="105">
        <v>23</v>
      </c>
      <c r="BP38" s="105">
        <v>23</v>
      </c>
      <c r="BQ38" s="105">
        <v>23</v>
      </c>
      <c r="BR38" s="105">
        <v>23</v>
      </c>
      <c r="BS38" s="105">
        <v>23</v>
      </c>
      <c r="BT38" s="105">
        <v>23</v>
      </c>
      <c r="BU38" s="105">
        <v>23</v>
      </c>
      <c r="BV38" s="105">
        <v>23</v>
      </c>
      <c r="BW38" s="105">
        <v>23</v>
      </c>
      <c r="BX38" s="105">
        <v>23</v>
      </c>
      <c r="BY38" s="105">
        <v>23</v>
      </c>
      <c r="BZ38" s="105">
        <v>23</v>
      </c>
      <c r="CA38" s="105">
        <v>23</v>
      </c>
      <c r="CB38" s="105">
        <v>23</v>
      </c>
      <c r="CC38" s="105">
        <v>23</v>
      </c>
      <c r="CD38" s="105">
        <v>23</v>
      </c>
      <c r="CE38" s="105">
        <v>23</v>
      </c>
      <c r="CF38" s="105">
        <v>23</v>
      </c>
      <c r="CG38" s="105">
        <v>23</v>
      </c>
      <c r="CH38" s="105">
        <v>23</v>
      </c>
      <c r="CI38" s="105">
        <v>23</v>
      </c>
      <c r="CJ38" s="105">
        <v>23</v>
      </c>
      <c r="CK38" s="105">
        <v>23</v>
      </c>
      <c r="CL38" s="105">
        <v>23</v>
      </c>
      <c r="CM38" s="105">
        <v>23</v>
      </c>
      <c r="CN38" s="105">
        <v>23</v>
      </c>
      <c r="CO38" s="105">
        <v>23</v>
      </c>
      <c r="CP38" s="105">
        <v>23</v>
      </c>
      <c r="CQ38" s="105">
        <v>23</v>
      </c>
      <c r="CR38" s="105">
        <v>23</v>
      </c>
      <c r="CS38" s="106">
        <v>23</v>
      </c>
      <c r="CT38" s="106"/>
      <c r="CU38" s="106"/>
      <c r="CV38" s="106"/>
      <c r="CW38" s="107"/>
      <c r="CX38" s="86">
        <f t="array" ref="CX38">SUMPRODUCT(B38:CW38*0.25)</f>
        <v>552</v>
      </c>
    </row>
    <row r="39" spans="1:102" ht="20.100000000000001" customHeight="1" x14ac:dyDescent="0.2">
      <c r="A39" s="103" t="s">
        <v>31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6"/>
      <c r="CT39" s="105"/>
      <c r="CU39" s="105"/>
      <c r="CV39" s="105"/>
      <c r="CW39" s="107"/>
      <c r="CX39" s="86">
        <f t="array" ref="CX39">SUMPRODUCT(B39:CW39*0.25)</f>
        <v>0</v>
      </c>
    </row>
    <row r="40" spans="1:102" ht="20.100000000000001" customHeight="1" x14ac:dyDescent="0.2">
      <c r="A40" s="103" t="s">
        <v>32</v>
      </c>
      <c r="B40" s="104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05"/>
      <c r="CU40" s="105"/>
      <c r="CV40" s="105"/>
      <c r="CW40" s="107"/>
      <c r="CX40" s="86">
        <f t="array" ref="CX40">SUMPRODUCT(B40:CW40*0.25)</f>
        <v>0</v>
      </c>
    </row>
    <row r="41" spans="1:102" ht="20.100000000000001" customHeight="1" thickBot="1" x14ac:dyDescent="0.25">
      <c r="A41" s="108" t="s">
        <v>33</v>
      </c>
      <c r="B41" s="109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4"/>
      <c r="BU41" s="114"/>
      <c r="BV41" s="114"/>
      <c r="BW41" s="114"/>
      <c r="BX41" s="114"/>
      <c r="BY41" s="114"/>
      <c r="BZ41" s="114"/>
      <c r="CA41" s="114"/>
      <c r="CB41" s="114"/>
      <c r="CC41" s="114"/>
      <c r="CD41" s="114"/>
      <c r="CE41" s="114"/>
      <c r="CF41" s="114"/>
      <c r="CG41" s="114"/>
      <c r="CH41" s="114"/>
      <c r="CI41" s="114"/>
      <c r="CJ41" s="114"/>
      <c r="CK41" s="114"/>
      <c r="CL41" s="114"/>
      <c r="CM41" s="114"/>
      <c r="CN41" s="114"/>
      <c r="CO41" s="114"/>
      <c r="CP41" s="110"/>
      <c r="CQ41" s="114"/>
      <c r="CR41" s="114"/>
      <c r="CS41" s="114"/>
      <c r="CT41" s="110"/>
      <c r="CU41" s="110"/>
      <c r="CV41" s="110"/>
      <c r="CW41" s="112"/>
      <c r="CX41" s="98">
        <f t="array" ref="CX41">SUMPRODUCT(B41:CW41*0.25)</f>
        <v>0</v>
      </c>
    </row>
    <row r="42" spans="1:102" ht="30" customHeight="1" thickBot="1" x14ac:dyDescent="0.25">
      <c r="A42" s="65" t="s">
        <v>34</v>
      </c>
      <c r="B42" s="66">
        <f>SUM(B37:B41)</f>
        <v>23</v>
      </c>
      <c r="C42" s="67">
        <f t="shared" ref="C42:BN42" si="10">SUM(C37:C41)</f>
        <v>23</v>
      </c>
      <c r="D42" s="67">
        <f t="shared" si="10"/>
        <v>23</v>
      </c>
      <c r="E42" s="67">
        <f t="shared" si="10"/>
        <v>23</v>
      </c>
      <c r="F42" s="67">
        <f t="shared" si="10"/>
        <v>23</v>
      </c>
      <c r="G42" s="67">
        <f t="shared" si="10"/>
        <v>23</v>
      </c>
      <c r="H42" s="67">
        <f t="shared" si="10"/>
        <v>23</v>
      </c>
      <c r="I42" s="67">
        <f t="shared" si="10"/>
        <v>23</v>
      </c>
      <c r="J42" s="67">
        <f t="shared" si="10"/>
        <v>23</v>
      </c>
      <c r="K42" s="67">
        <f t="shared" si="10"/>
        <v>23</v>
      </c>
      <c r="L42" s="67">
        <f t="shared" si="10"/>
        <v>23</v>
      </c>
      <c r="M42" s="67">
        <f t="shared" si="10"/>
        <v>23</v>
      </c>
      <c r="N42" s="67">
        <f t="shared" si="10"/>
        <v>23</v>
      </c>
      <c r="O42" s="67">
        <f t="shared" si="10"/>
        <v>23</v>
      </c>
      <c r="P42" s="67">
        <f t="shared" si="10"/>
        <v>23</v>
      </c>
      <c r="Q42" s="67">
        <f t="shared" si="10"/>
        <v>23</v>
      </c>
      <c r="R42" s="67">
        <f t="shared" si="10"/>
        <v>23</v>
      </c>
      <c r="S42" s="67">
        <f t="shared" si="10"/>
        <v>23</v>
      </c>
      <c r="T42" s="67">
        <f t="shared" si="10"/>
        <v>23</v>
      </c>
      <c r="U42" s="67">
        <f t="shared" si="10"/>
        <v>23</v>
      </c>
      <c r="V42" s="67">
        <f t="shared" si="10"/>
        <v>23</v>
      </c>
      <c r="W42" s="67">
        <f t="shared" si="10"/>
        <v>23</v>
      </c>
      <c r="X42" s="67">
        <f t="shared" si="10"/>
        <v>23</v>
      </c>
      <c r="Y42" s="67">
        <f t="shared" si="10"/>
        <v>23</v>
      </c>
      <c r="Z42" s="67">
        <f t="shared" si="10"/>
        <v>23</v>
      </c>
      <c r="AA42" s="67">
        <f t="shared" si="10"/>
        <v>23</v>
      </c>
      <c r="AB42" s="67">
        <f t="shared" si="10"/>
        <v>23</v>
      </c>
      <c r="AC42" s="67">
        <f t="shared" si="10"/>
        <v>23</v>
      </c>
      <c r="AD42" s="67">
        <f t="shared" si="10"/>
        <v>23</v>
      </c>
      <c r="AE42" s="67">
        <f t="shared" si="10"/>
        <v>23</v>
      </c>
      <c r="AF42" s="67">
        <f t="shared" si="10"/>
        <v>23</v>
      </c>
      <c r="AG42" s="67">
        <f t="shared" si="10"/>
        <v>23</v>
      </c>
      <c r="AH42" s="67">
        <f t="shared" si="10"/>
        <v>23</v>
      </c>
      <c r="AI42" s="67">
        <f t="shared" si="10"/>
        <v>23</v>
      </c>
      <c r="AJ42" s="67">
        <f t="shared" si="10"/>
        <v>23</v>
      </c>
      <c r="AK42" s="67">
        <f t="shared" si="10"/>
        <v>23</v>
      </c>
      <c r="AL42" s="67">
        <f t="shared" si="10"/>
        <v>23</v>
      </c>
      <c r="AM42" s="67">
        <f t="shared" si="10"/>
        <v>23</v>
      </c>
      <c r="AN42" s="67">
        <f t="shared" si="10"/>
        <v>23</v>
      </c>
      <c r="AO42" s="67">
        <f t="shared" si="10"/>
        <v>23</v>
      </c>
      <c r="AP42" s="67">
        <f t="shared" si="10"/>
        <v>23</v>
      </c>
      <c r="AQ42" s="67">
        <f t="shared" si="10"/>
        <v>23</v>
      </c>
      <c r="AR42" s="67">
        <f t="shared" si="10"/>
        <v>23</v>
      </c>
      <c r="AS42" s="67">
        <f t="shared" si="10"/>
        <v>23</v>
      </c>
      <c r="AT42" s="67">
        <f t="shared" si="10"/>
        <v>23</v>
      </c>
      <c r="AU42" s="67">
        <f t="shared" si="10"/>
        <v>23</v>
      </c>
      <c r="AV42" s="67">
        <f t="shared" si="10"/>
        <v>23</v>
      </c>
      <c r="AW42" s="67">
        <f t="shared" si="10"/>
        <v>23</v>
      </c>
      <c r="AX42" s="67">
        <f t="shared" si="10"/>
        <v>23</v>
      </c>
      <c r="AY42" s="67">
        <f t="shared" si="10"/>
        <v>23</v>
      </c>
      <c r="AZ42" s="67">
        <f t="shared" si="10"/>
        <v>23</v>
      </c>
      <c r="BA42" s="67">
        <f t="shared" si="10"/>
        <v>23</v>
      </c>
      <c r="BB42" s="67">
        <f t="shared" si="10"/>
        <v>23</v>
      </c>
      <c r="BC42" s="67">
        <f t="shared" si="10"/>
        <v>23</v>
      </c>
      <c r="BD42" s="67">
        <f t="shared" si="10"/>
        <v>23</v>
      </c>
      <c r="BE42" s="67">
        <f t="shared" si="10"/>
        <v>23</v>
      </c>
      <c r="BF42" s="67">
        <f t="shared" si="10"/>
        <v>23</v>
      </c>
      <c r="BG42" s="67">
        <f t="shared" si="10"/>
        <v>23</v>
      </c>
      <c r="BH42" s="67">
        <f t="shared" si="10"/>
        <v>23</v>
      </c>
      <c r="BI42" s="67">
        <f t="shared" si="10"/>
        <v>23</v>
      </c>
      <c r="BJ42" s="67">
        <f t="shared" si="10"/>
        <v>23</v>
      </c>
      <c r="BK42" s="67">
        <f t="shared" si="10"/>
        <v>23</v>
      </c>
      <c r="BL42" s="67">
        <f t="shared" si="10"/>
        <v>23</v>
      </c>
      <c r="BM42" s="67">
        <f t="shared" si="10"/>
        <v>23</v>
      </c>
      <c r="BN42" s="67">
        <f t="shared" si="10"/>
        <v>23</v>
      </c>
      <c r="BO42" s="67">
        <f t="shared" ref="BO42:CW42" si="11">SUM(BO37:BO41)</f>
        <v>23</v>
      </c>
      <c r="BP42" s="67">
        <f t="shared" si="11"/>
        <v>23</v>
      </c>
      <c r="BQ42" s="67">
        <f t="shared" si="11"/>
        <v>23</v>
      </c>
      <c r="BR42" s="67">
        <f t="shared" si="11"/>
        <v>23</v>
      </c>
      <c r="BS42" s="67">
        <f t="shared" si="11"/>
        <v>23</v>
      </c>
      <c r="BT42" s="67">
        <f t="shared" si="11"/>
        <v>23</v>
      </c>
      <c r="BU42" s="67">
        <f t="shared" si="11"/>
        <v>23</v>
      </c>
      <c r="BV42" s="67">
        <f t="shared" si="11"/>
        <v>23</v>
      </c>
      <c r="BW42" s="67">
        <f t="shared" si="11"/>
        <v>23</v>
      </c>
      <c r="BX42" s="67">
        <f t="shared" si="11"/>
        <v>23</v>
      </c>
      <c r="BY42" s="67">
        <f t="shared" si="11"/>
        <v>23</v>
      </c>
      <c r="BZ42" s="67">
        <f t="shared" si="11"/>
        <v>23</v>
      </c>
      <c r="CA42" s="67">
        <f t="shared" si="11"/>
        <v>23</v>
      </c>
      <c r="CB42" s="67">
        <f t="shared" si="11"/>
        <v>23</v>
      </c>
      <c r="CC42" s="67">
        <f t="shared" si="11"/>
        <v>23</v>
      </c>
      <c r="CD42" s="67">
        <f t="shared" si="11"/>
        <v>23</v>
      </c>
      <c r="CE42" s="67">
        <f t="shared" si="11"/>
        <v>23</v>
      </c>
      <c r="CF42" s="67">
        <f t="shared" si="11"/>
        <v>23</v>
      </c>
      <c r="CG42" s="67">
        <f t="shared" si="11"/>
        <v>23</v>
      </c>
      <c r="CH42" s="67">
        <f t="shared" si="11"/>
        <v>23</v>
      </c>
      <c r="CI42" s="67">
        <f t="shared" si="11"/>
        <v>23</v>
      </c>
      <c r="CJ42" s="67">
        <f t="shared" si="11"/>
        <v>23</v>
      </c>
      <c r="CK42" s="67">
        <f t="shared" si="11"/>
        <v>23</v>
      </c>
      <c r="CL42" s="67">
        <f t="shared" si="11"/>
        <v>23</v>
      </c>
      <c r="CM42" s="67">
        <f t="shared" si="11"/>
        <v>23</v>
      </c>
      <c r="CN42" s="67">
        <f t="shared" si="11"/>
        <v>23</v>
      </c>
      <c r="CO42" s="67">
        <f t="shared" si="11"/>
        <v>23</v>
      </c>
      <c r="CP42" s="67">
        <f t="shared" si="11"/>
        <v>23</v>
      </c>
      <c r="CQ42" s="67">
        <f t="shared" si="11"/>
        <v>23</v>
      </c>
      <c r="CR42" s="67">
        <f t="shared" si="11"/>
        <v>23</v>
      </c>
      <c r="CS42" s="67">
        <f t="shared" si="11"/>
        <v>23</v>
      </c>
      <c r="CT42" s="68">
        <f t="shared" si="11"/>
        <v>0</v>
      </c>
      <c r="CU42" s="68">
        <f t="shared" si="11"/>
        <v>0</v>
      </c>
      <c r="CV42" s="68">
        <f t="shared" si="11"/>
        <v>0</v>
      </c>
      <c r="CW42" s="69">
        <f t="shared" si="11"/>
        <v>0</v>
      </c>
      <c r="CX42" s="70">
        <f>SUM(CX37:CX41)</f>
        <v>552</v>
      </c>
    </row>
    <row r="43" spans="1:102" ht="15.95" customHeight="1" x14ac:dyDescent="0.2"/>
  </sheetData>
  <mergeCells count="34">
    <mergeCell ref="B19:CW19"/>
    <mergeCell ref="B28:CX28"/>
    <mergeCell ref="B29:CW29"/>
    <mergeCell ref="B36:CW36"/>
    <mergeCell ref="CP2:CS2"/>
    <mergeCell ref="CT2:CW2"/>
    <mergeCell ref="B4:CX4"/>
    <mergeCell ref="B7:CX7"/>
    <mergeCell ref="B10:CW10"/>
    <mergeCell ref="B18:CX18"/>
    <mergeCell ref="BR2:BU2"/>
    <mergeCell ref="BV2:BY2"/>
    <mergeCell ref="BZ2:CC2"/>
    <mergeCell ref="CD2:CG2"/>
    <mergeCell ref="CH2:CK2"/>
    <mergeCell ref="CL2:CO2"/>
    <mergeCell ref="AT2:AW2"/>
    <mergeCell ref="AX2:BA2"/>
    <mergeCell ref="BB2:BE2"/>
    <mergeCell ref="BF2:BI2"/>
    <mergeCell ref="BJ2:BM2"/>
    <mergeCell ref="BN2:BQ2"/>
    <mergeCell ref="V2:Y2"/>
    <mergeCell ref="Z2:AC2"/>
    <mergeCell ref="AD2:AG2"/>
    <mergeCell ref="AH2:AK2"/>
    <mergeCell ref="AL2:AO2"/>
    <mergeCell ref="AP2:AS2"/>
    <mergeCell ref="A1:M1"/>
    <mergeCell ref="B2:E2"/>
    <mergeCell ref="F2:I2"/>
    <mergeCell ref="J2:M2"/>
    <mergeCell ref="N2:Q2"/>
    <mergeCell ref="R2:U2"/>
  </mergeCells>
  <pageMargins left="0.19685039370078741" right="0.15748031496062992" top="0.31496062992125984" bottom="0.35" header="0.15748031496062992" footer="0.15748031496062992"/>
  <pageSetup paperSize="9" scale="48" fitToWidth="4" fitToHeight="4" orientation="landscape" horizontalDpi="300" verticalDpi="300" r:id="rId1"/>
  <headerFooter>
    <oddHeader>&amp;L&amp;12&amp;A</oddHeader>
    <oddFooter>&amp;R&amp;12&amp;D&amp;T</oddFooter>
  </headerFooter>
  <colBreaks count="3" manualBreakCount="3">
    <brk id="25" max="42" man="1"/>
    <brk id="49" max="42" man="1"/>
    <brk id="73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Pre-Market Data</vt:lpstr>
      <vt:lpstr>BRD_EXP_PPTs_NAMES_SUMMARY</vt:lpstr>
      <vt:lpstr>BRD_EXP_PPTs_VALUES_SUMMARY</vt:lpstr>
      <vt:lpstr>BRD_IMP_PPTs_NAMES_SUMMARY</vt:lpstr>
      <vt:lpstr>BRD_IMP_PPTs_VALUES_SUMMARY</vt:lpstr>
      <vt:lpstr>DEMAND_NAMES_PPTs_SUMMARY</vt:lpstr>
      <vt:lpstr>DEMAND_PPTs_VALUES_SUMMARY</vt:lpstr>
      <vt:lpstr>HRs_MKT_PREMARKET</vt:lpstr>
      <vt:lpstr>MKT_PREMARKET_DELIVERY_DAY</vt:lpstr>
      <vt:lpstr>MTUs_MKT_PREMARKET</vt:lpstr>
      <vt:lpstr>'Pre-Market Data'!Print_Area</vt:lpstr>
      <vt:lpstr>'Pre-Market Data'!Print_Titles</vt:lpstr>
      <vt:lpstr>TOT_DEMAND_PPTs_MAINLAND_SUMMARY</vt:lpstr>
      <vt:lpstr>TOT_SUM_PPT_PUB_TIME</vt:lpstr>
      <vt:lpstr>TOT_SUPPLY_PPTs_MAINLAND_SUMMARY</vt:lpstr>
      <vt:lpstr>UNITS_DRS_PPTs_VALUES_SUMMARY</vt:lpstr>
      <vt:lpstr>UNITS_GAS_PPTs_VALUES_SUMMARY</vt:lpstr>
      <vt:lpstr>UNITS_HDR_PPTs_VALUES_SUMMARY</vt:lpstr>
      <vt:lpstr>UNITS_LIG_PPTs_VALUES_SUMMARY</vt:lpstr>
      <vt:lpstr>UNITS_NAMES_PPTs_SUMMARY</vt:lpstr>
      <vt:lpstr>UNITS_RES_PPTs_VALUES_SUMMARY</vt:lpstr>
      <vt:lpstr>UNITS_SRG_PPTs_VALUES_SUMMARY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MarketOperator2</dc:creator>
  <cp:lastModifiedBy>MarketOperator2</cp:lastModifiedBy>
  <dcterms:created xsi:type="dcterms:W3CDTF">2026-04-22T11:23:11Z</dcterms:created>
  <dcterms:modified xsi:type="dcterms:W3CDTF">2026-04-22T11:23:12Z</dcterms:modified>
</cp:coreProperties>
</file>